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ssier eliot\BUSNESS\MOTO\"/>
    </mc:Choice>
  </mc:AlternateContent>
  <bookViews>
    <workbookView xWindow="0" yWindow="0" windowWidth="22680" windowHeight="9072" tabRatio="500" activeTab="1"/>
  </bookViews>
  <sheets>
    <sheet name="Analyse-Projéction" sheetId="1" r:id="rId1"/>
    <sheet name="Tableau de Bord" sheetId="2" r:id="rId2"/>
    <sheet name="Calendrier entretien" sheetId="3" r:id="rId3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8" i="2" l="1"/>
  <c r="E48" i="2"/>
  <c r="F48" i="2"/>
  <c r="G48" i="2"/>
  <c r="H48" i="2"/>
  <c r="I48" i="2"/>
  <c r="J48" i="2"/>
  <c r="K48" i="2"/>
  <c r="L48" i="2"/>
  <c r="J33" i="1"/>
  <c r="E58" i="3" l="1"/>
  <c r="N49" i="2" l="1"/>
  <c r="E5" i="2"/>
  <c r="M45" i="1"/>
  <c r="I55" i="2"/>
  <c r="I54" i="2"/>
  <c r="C48" i="2"/>
  <c r="B48" i="2"/>
  <c r="N14" i="2"/>
  <c r="E6" i="2"/>
  <c r="E9" i="2" s="1"/>
  <c r="F16" i="2" s="1"/>
  <c r="E7" i="2"/>
  <c r="E8" i="2" s="1"/>
  <c r="M46" i="1"/>
  <c r="U45" i="1"/>
  <c r="T45" i="1"/>
  <c r="S45" i="1"/>
  <c r="R45" i="1"/>
  <c r="Q45" i="1"/>
  <c r="P45" i="1"/>
  <c r="O45" i="1"/>
  <c r="N45" i="1"/>
  <c r="L45" i="1"/>
  <c r="K45" i="1"/>
  <c r="J45" i="1"/>
  <c r="J46" i="1" s="1"/>
  <c r="U43" i="1"/>
  <c r="T43" i="1"/>
  <c r="S43" i="1"/>
  <c r="R43" i="1"/>
  <c r="Q43" i="1"/>
  <c r="P43" i="1"/>
  <c r="O43" i="1"/>
  <c r="N43" i="1"/>
  <c r="M43" i="1"/>
  <c r="L43" i="1"/>
  <c r="K43" i="1"/>
  <c r="J43" i="1"/>
  <c r="J44" i="1" s="1"/>
  <c r="U31" i="1"/>
  <c r="U32" i="1" s="1"/>
  <c r="T31" i="1"/>
  <c r="T50" i="1" s="1"/>
  <c r="S31" i="1"/>
  <c r="S50" i="1" s="1"/>
  <c r="R31" i="1"/>
  <c r="Q31" i="1"/>
  <c r="Q32" i="1" s="1"/>
  <c r="P31" i="1"/>
  <c r="P32" i="1" s="1"/>
  <c r="O31" i="1"/>
  <c r="O32" i="1" s="1"/>
  <c r="N31" i="1"/>
  <c r="N32" i="1" s="1"/>
  <c r="M31" i="1"/>
  <c r="M32" i="1" s="1"/>
  <c r="M52" i="1" s="1"/>
  <c r="L31" i="1"/>
  <c r="L32" i="1" s="1"/>
  <c r="K31" i="1"/>
  <c r="K50" i="1" s="1"/>
  <c r="J31" i="1"/>
  <c r="J32" i="1" s="1"/>
  <c r="F11" i="1"/>
  <c r="G10" i="1"/>
  <c r="G9" i="1"/>
  <c r="G11" i="1" s="1"/>
  <c r="N48" i="2" l="1"/>
  <c r="J52" i="1"/>
  <c r="P44" i="1"/>
  <c r="P33" i="1"/>
  <c r="S44" i="1"/>
  <c r="S46" i="1"/>
  <c r="J48" i="1" s="1"/>
  <c r="L50" i="1"/>
  <c r="M50" i="1"/>
  <c r="M44" i="1"/>
  <c r="O50" i="1"/>
  <c r="Q50" i="1"/>
  <c r="U52" i="1"/>
  <c r="N50" i="1"/>
  <c r="P50" i="1"/>
  <c r="S32" i="1"/>
  <c r="S52" i="1" s="1"/>
  <c r="P46" i="1"/>
  <c r="R50" i="1"/>
  <c r="O52" i="1"/>
  <c r="R32" i="1"/>
  <c r="R52" i="1" s="1"/>
  <c r="N52" i="1"/>
  <c r="L52" i="1"/>
  <c r="Q52" i="1"/>
  <c r="T32" i="1"/>
  <c r="T52" i="1" s="1"/>
  <c r="M33" i="1"/>
  <c r="P52" i="1"/>
  <c r="L15" i="2"/>
  <c r="E10" i="2"/>
  <c r="E15" i="2"/>
  <c r="M15" i="2"/>
  <c r="K15" i="2"/>
  <c r="K17" i="2" s="1"/>
  <c r="B15" i="2"/>
  <c r="J15" i="2"/>
  <c r="J17" i="2" s="1"/>
  <c r="H15" i="2"/>
  <c r="G15" i="2"/>
  <c r="D15" i="2"/>
  <c r="D17" i="2" s="1"/>
  <c r="C15" i="2"/>
  <c r="C17" i="2" s="1"/>
  <c r="I15" i="2"/>
  <c r="I17" i="2" s="1"/>
  <c r="F15" i="2"/>
  <c r="F17" i="2" s="1"/>
  <c r="K16" i="2"/>
  <c r="J16" i="2"/>
  <c r="E16" i="2"/>
  <c r="I16" i="2"/>
  <c r="D16" i="2"/>
  <c r="L16" i="2"/>
  <c r="H16" i="2"/>
  <c r="G16" i="2"/>
  <c r="C16" i="2"/>
  <c r="B16" i="2"/>
  <c r="M16" i="2"/>
  <c r="M34" i="1"/>
  <c r="K32" i="1"/>
  <c r="K52" i="1" s="1"/>
  <c r="S33" i="1"/>
  <c r="U50" i="1"/>
  <c r="S51" i="1" s="1"/>
  <c r="J50" i="1"/>
  <c r="J51" i="1" s="1"/>
  <c r="M51" i="1" l="1"/>
  <c r="G17" i="2"/>
  <c r="H17" i="2"/>
  <c r="B17" i="2"/>
  <c r="M17" i="2"/>
  <c r="E17" i="2"/>
  <c r="L17" i="2"/>
  <c r="J47" i="1"/>
  <c r="M53" i="1"/>
  <c r="P34" i="1"/>
  <c r="S53" i="1"/>
  <c r="P51" i="1"/>
  <c r="P53" i="1"/>
  <c r="J34" i="1"/>
  <c r="S34" i="1"/>
  <c r="M49" i="2"/>
  <c r="M50" i="2" s="1"/>
  <c r="J35" i="1"/>
  <c r="F49" i="2"/>
  <c r="F50" i="2" s="1"/>
  <c r="L49" i="2"/>
  <c r="L50" i="2" s="1"/>
  <c r="B49" i="2"/>
  <c r="N15" i="2"/>
  <c r="E49" i="2"/>
  <c r="E50" i="2" s="1"/>
  <c r="I49" i="2"/>
  <c r="I50" i="2" s="1"/>
  <c r="C49" i="2"/>
  <c r="C50" i="2" s="1"/>
  <c r="J49" i="2"/>
  <c r="J50" i="2" s="1"/>
  <c r="N16" i="2"/>
  <c r="K49" i="2"/>
  <c r="K50" i="2" s="1"/>
  <c r="J53" i="1"/>
  <c r="D49" i="2"/>
  <c r="D50" i="2" s="1"/>
  <c r="G49" i="2"/>
  <c r="G50" i="2" s="1"/>
  <c r="H49" i="2"/>
  <c r="H50" i="2" s="1"/>
  <c r="J54" i="1" l="1"/>
  <c r="N17" i="2"/>
  <c r="J36" i="1"/>
  <c r="J55" i="1"/>
  <c r="B18" i="2"/>
  <c r="C18" i="2" s="1"/>
  <c r="D18" i="2" s="1"/>
  <c r="E18" i="2" s="1"/>
  <c r="F18" i="2" s="1"/>
  <c r="G18" i="2" s="1"/>
  <c r="H18" i="2" s="1"/>
  <c r="I18" i="2" s="1"/>
  <c r="J18" i="2" s="1"/>
  <c r="K18" i="2" s="1"/>
  <c r="L18" i="2" s="1"/>
  <c r="M18" i="2" s="1"/>
  <c r="N18" i="2" s="1"/>
  <c r="B50" i="2"/>
  <c r="N50" i="2" s="1"/>
</calcChain>
</file>

<file path=xl/sharedStrings.xml><?xml version="1.0" encoding="utf-8"?>
<sst xmlns="http://schemas.openxmlformats.org/spreadsheetml/2006/main" count="161" uniqueCount="122">
  <si>
    <t xml:space="preserve">Analyse du projection   du projet </t>
  </si>
  <si>
    <t xml:space="preserve">Titre du projet </t>
  </si>
  <si>
    <t>Location  Taxy Moto</t>
  </si>
  <si>
    <t>Mois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</si>
  <si>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</si>
  <si>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</si>
  <si>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</si>
  <si>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</si>
  <si>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</si>
  <si>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</si>
  <si>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</si>
  <si>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</si>
  <si>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</si>
  <si>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</si>
  <si>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</si>
  <si>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</si>
  <si>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 xml:space="preserve">Nombre </t>
  </si>
  <si>
    <t>Jours</t>
  </si>
  <si>
    <t xml:space="preserve">type de payment </t>
  </si>
  <si>
    <t xml:space="preserve">                 Hebdomadaire </t>
  </si>
  <si>
    <t>location moto 1</t>
  </si>
  <si>
    <t>type depayment</t>
  </si>
  <si>
    <t xml:space="preserve">valeur/jouralier </t>
  </si>
  <si>
    <t>valeur/Hebdo</t>
  </si>
  <si>
    <t>1/VJR</t>
  </si>
  <si>
    <t>Hebdo</t>
  </si>
  <si>
    <t xml:space="preserve">Totale </t>
  </si>
  <si>
    <t>1 moto travaille 6/7j</t>
  </si>
  <si>
    <t>1moi/4semaine</t>
  </si>
  <si>
    <t>Nomre de Jour totale de Fonctionement/motos</t>
  </si>
  <si>
    <t>Nomre de mois totale de Fonctionement/motos</t>
  </si>
  <si>
    <t>mois</t>
  </si>
  <si>
    <t>REVENUE</t>
  </si>
  <si>
    <t>Résultat/Mesuelle/1moto</t>
  </si>
  <si>
    <t>Résultat/Mesuelle/2moto</t>
  </si>
  <si>
    <t>Résultat/Trimesttrielle/1moto</t>
  </si>
  <si>
    <t>Résultat/Trimesttrielle/2moto</t>
  </si>
  <si>
    <t>Résultat/Annuelle/1moto</t>
  </si>
  <si>
    <t>Résultat/Annuelle/2moto</t>
  </si>
  <si>
    <t>DEPENSE</t>
  </si>
  <si>
    <t>Verssement/Mensuelle/1moto</t>
  </si>
  <si>
    <t>Verssement/Mensuelle/2moto</t>
  </si>
  <si>
    <t>Entretien/Mensuelle/1moto</t>
  </si>
  <si>
    <t>Entretien/Mensuelle/2moto</t>
  </si>
  <si>
    <t>Dépense Mensuelle /1moto</t>
  </si>
  <si>
    <t>Dépense Trimestrielle/1moto</t>
  </si>
  <si>
    <t>Dépense Mensuelle /2moto</t>
  </si>
  <si>
    <t>Dépense Trimestrielle/2moto</t>
  </si>
  <si>
    <t>Dépense Annuelle/1moto</t>
  </si>
  <si>
    <t>Dépense Annuelle/2moto</t>
  </si>
  <si>
    <t>BENEFICE</t>
  </si>
  <si>
    <t>Bénefice/Mensuelle/1moto</t>
  </si>
  <si>
    <t>Bénefice/Trimestrielle/1moto</t>
  </si>
  <si>
    <t>Bénefice/Mensuelle/2moto</t>
  </si>
  <si>
    <t>Bénefice/Trimestrielle/2moto</t>
  </si>
  <si>
    <t>Légende : cellules en bleu sur fond jaune = à modifier</t>
  </si>
  <si>
    <t>1. Hypothèses</t>
  </si>
  <si>
    <t>Nombre de motos en exploitation</t>
  </si>
  <si>
    <t>Jours travaillés par mois (calculé)</t>
  </si>
  <si>
    <t>Tarif journalier (Ar)</t>
  </si>
  <si>
    <t>Dépense mensuelle / moto (calculé)</t>
  </si>
  <si>
    <t>Jours travaillés par semaine</t>
  </si>
  <si>
    <t>Revenu mensuel / moto (calculé)</t>
  </si>
  <si>
    <t>Semaines par mois</t>
  </si>
  <si>
    <t>Revenu mensuel — flotte (calculé)</t>
  </si>
  <si>
    <t>Versement mensuel par moto (Ar)</t>
  </si>
  <si>
    <t>Dépense mensuelle — flotte (calculé)</t>
  </si>
  <si>
    <t>Entretien mensuel par moto (Ar)</t>
  </si>
  <si>
    <t>Bénéfice mensuel — flotte (calculé)</t>
  </si>
  <si>
    <t>2. Projection mensuelle</t>
  </si>
  <si>
    <t>Total Année</t>
  </si>
  <si>
    <t>Facteur d'activité du mois</t>
  </si>
  <si>
    <t>Revenu mensuel prévu — flotte (Ar)</t>
  </si>
  <si>
    <t>Dépense mensuelle prévue — flotte (Ar)</t>
  </si>
  <si>
    <t>Bénéfice mensuel prévu — flotte (Ar)</t>
  </si>
  <si>
    <t>Bénéfice cumulé prévu (Ar)</t>
  </si>
  <si>
    <t>3. Tableau de suivi — encaissements journaliers réels (Ar)</t>
  </si>
  <si>
    <t>À remplir chaque jour avec le montant réellement encaissé. Cellules blanches = à saisir.</t>
  </si>
  <si>
    <t>Jour</t>
  </si>
  <si>
    <t>Total mois</t>
  </si>
  <si>
    <t>Total encaissé (mois)</t>
  </si>
  <si>
    <t>Revenu prévu (mois)</t>
  </si>
  <si>
    <t>Écart réel / prévu (Ar)</t>
  </si>
  <si>
    <t>Bénefice/ Annuelle/2moto</t>
  </si>
  <si>
    <t xml:space="preserve">Tableau  de Bord </t>
  </si>
  <si>
    <t>Bénefice/ Annuelle/1moto</t>
  </si>
  <si>
    <t>Total dépensé en entretien</t>
  </si>
  <si>
    <t>Remarques</t>
  </si>
  <si>
    <t>Prochaine échéance</t>
  </si>
  <si>
    <t>Statut</t>
  </si>
  <si>
    <t>Prestataire / lieu</t>
  </si>
  <si>
    <t>Coût réel (Ar)</t>
  </si>
  <si>
    <t>Kilométrage</t>
  </si>
  <si>
    <t>Type d'entretien</t>
  </si>
  <si>
    <t>Moto</t>
  </si>
  <si>
    <t>Date</t>
  </si>
  <si>
    <t>2. Suivi réel des interventions</t>
  </si>
  <si>
    <t>Basse</t>
  </si>
  <si>
    <t>Contrôle mensuel</t>
  </si>
  <si>
    <t>Batterie</t>
  </si>
  <si>
    <t>Haute</t>
  </si>
  <si>
    <t>Tous les 6 mois</t>
  </si>
  <si>
    <t>Révision générale</t>
  </si>
  <si>
    <t>Moyenne</t>
  </si>
  <si>
    <t>Tous les 2 mois</t>
  </si>
  <si>
    <t>Filtre à air</t>
  </si>
  <si>
    <t>Bougie d'allumage</t>
  </si>
  <si>
    <t>Toutes les 2 semaines</t>
  </si>
  <si>
    <t>Graissage / réglage chaîne</t>
  </si>
  <si>
    <t>Contrôle freins</t>
  </si>
  <si>
    <t>Chaque semaine</t>
  </si>
  <si>
    <t>Contrôle / gonflage pneus</t>
  </si>
  <si>
    <t>Toutes les 3-4 semaines</t>
  </si>
  <si>
    <t>Vidange moteur</t>
  </si>
  <si>
    <t>Priorité</t>
  </si>
  <si>
    <t>Coût estimé (Ar)</t>
  </si>
  <si>
    <t>Fréquence (km)</t>
  </si>
  <si>
    <t>Fréquence recommandée</t>
  </si>
  <si>
    <t>1. Plan d'entretien préventif de référence</t>
  </si>
  <si>
    <t>Cellules bleues = à compléter. Fréquences indicatives, à ajuster selon l'usage réel du véhicule.</t>
  </si>
  <si>
    <t>CALENDRIER D'ENTRETIEN ET DE SUIVI — Location Taxi Moto</t>
  </si>
  <si>
    <t>Planifié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</si>
</sst>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[$Ar]\ * #,##0_-;\-[$Ar]\ * #,##0_-;_-[$Ar]\ * \-??_-;_-@_-"/>
    <numFmt numFmtId="165" formatCode="#,##0&quot; Ar&quot;"/>
  </numFmts>
  <fonts count="1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808080"/>
      <name val="Arial"/>
      <charset val="1"/>
    </font>
    <font>
      <b/>
      <sz val="11"/>
      <color rgb="FF1F4E78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18"/>
      <color theme="1"/>
      <name val="Calibri"/>
      <family val="2"/>
      <charset val="1"/>
    </font>
    <font>
      <b/>
      <sz val="10"/>
      <name val="Arial"/>
      <charset val="1"/>
    </font>
  </fonts>
  <fills count="29">
    <fill>
      <patternFill patternType="none"/>
    </fill>
    <fill>
      <patternFill patternType="gray125"/>
    </fill>
    <fill>
      <patternFill patternType="solid">
        <fgColor theme="9" tint="0.39988402966399123"/>
        <bgColor rgb="FFFCD5B5"/>
      </patternFill>
    </fill>
    <fill>
      <patternFill patternType="solid">
        <fgColor theme="4" tint="0.59987182226020086"/>
        <bgColor rgb="FFB7DEE8"/>
      </patternFill>
    </fill>
    <fill>
      <patternFill patternType="solid">
        <fgColor theme="4"/>
        <bgColor rgb="FF808080"/>
      </patternFill>
    </fill>
    <fill>
      <patternFill patternType="solid">
        <fgColor theme="8" tint="0.39988402966399123"/>
        <bgColor rgb="FF8EB4E3"/>
      </patternFill>
    </fill>
    <fill>
      <patternFill patternType="solid">
        <fgColor theme="9" tint="0.79989013336588644"/>
        <bgColor rgb="FFF2F2F2"/>
      </patternFill>
    </fill>
    <fill>
      <patternFill patternType="solid">
        <fgColor theme="8" tint="0.79989013336588644"/>
        <bgColor rgb="FFD9E1F2"/>
      </patternFill>
    </fill>
    <fill>
      <patternFill patternType="solid">
        <fgColor theme="7" tint="0.79989013336588644"/>
        <bgColor rgb="FFD9E1F2"/>
      </patternFill>
    </fill>
    <fill>
      <patternFill patternType="solid">
        <fgColor theme="7" tint="0.59987182226020086"/>
        <bgColor rgb="FFBFBFBF"/>
      </patternFill>
    </fill>
    <fill>
      <patternFill patternType="solid">
        <fgColor theme="3" tint="0.59987182226020086"/>
        <bgColor rgb="FF93CDDD"/>
      </patternFill>
    </fill>
    <fill>
      <patternFill patternType="solid">
        <fgColor theme="9" tint="0.59987182226020086"/>
        <bgColor rgb="FFFDEADA"/>
      </patternFill>
    </fill>
    <fill>
      <patternFill patternType="solid">
        <fgColor theme="0"/>
        <bgColor rgb="FFF2F2F2"/>
      </patternFill>
    </fill>
    <fill>
      <patternFill patternType="solid">
        <fgColor theme="8" tint="0.59987182226020086"/>
        <bgColor rgb="FFB9CDE5"/>
      </patternFill>
    </fill>
    <fill>
      <patternFill patternType="solid">
        <fgColor theme="5" tint="0.39988402966399123"/>
        <bgColor rgb="FFFAC090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E6E0EC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DEADA"/>
      </patternFill>
    </fill>
    <fill>
      <patternFill patternType="solid">
        <fgColor theme="0"/>
        <bgColor rgb="FF808080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rgb="FF8EB4E3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BFBFBF"/>
      </patternFill>
    </fill>
    <fill>
      <patternFill patternType="solid">
        <fgColor theme="5" tint="0.39997558519241921"/>
        <bgColor rgb="FFF2F2F2"/>
      </patternFill>
    </fill>
    <fill>
      <patternFill patternType="solid">
        <fgColor theme="3" tint="0.59999389629810485"/>
        <bgColor rgb="FFFCD5B5"/>
      </patternFill>
    </fill>
    <fill>
      <patternFill patternType="solid">
        <fgColor rgb="FFD9E1F2"/>
        <bgColor rgb="FFCCFFFF"/>
      </patternFill>
    </fill>
    <fill>
      <patternFill patternType="solid">
        <fgColor theme="3" tint="0.79998168889431442"/>
        <bgColor rgb="FFD9E1F2"/>
      </patternFill>
    </fill>
  </fills>
  <borders count="7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auto="1"/>
      </top>
      <bottom style="thin">
        <color theme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auto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0"/>
      </right>
      <top style="thin">
        <color theme="1"/>
      </top>
      <bottom style="medium">
        <color theme="1"/>
      </bottom>
      <diagonal/>
    </border>
    <border>
      <left style="thin">
        <color theme="0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theme="1"/>
      </right>
      <top style="thin">
        <color theme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theme="1"/>
      </right>
      <top style="medium">
        <color auto="1"/>
      </top>
      <bottom style="thin">
        <color auto="1"/>
      </bottom>
      <diagonal/>
    </border>
    <border>
      <left/>
      <right style="medium">
        <color theme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theme="1"/>
      </top>
      <bottom style="medium">
        <color auto="1"/>
      </bottom>
      <diagonal/>
    </border>
    <border>
      <left/>
      <right style="medium">
        <color auto="1"/>
      </right>
      <top style="medium">
        <color theme="1"/>
      </top>
      <bottom style="medium">
        <color auto="1"/>
      </bottom>
      <diagonal/>
    </border>
    <border>
      <left style="medium">
        <color auto="1"/>
      </left>
      <right/>
      <top style="medium">
        <color theme="1"/>
      </top>
      <bottom style="medium">
        <color theme="1"/>
      </bottom>
      <diagonal/>
    </border>
    <border>
      <left/>
      <right style="medium">
        <color auto="1"/>
      </right>
      <top style="medium">
        <color theme="1"/>
      </top>
      <bottom style="medium">
        <color theme="1"/>
      </bottom>
      <diagonal/>
    </border>
    <border>
      <left style="medium">
        <color auto="1"/>
      </left>
      <right/>
      <top/>
      <bottom style="medium">
        <color theme="1"/>
      </bottom>
      <diagonal/>
    </border>
    <border>
      <left/>
      <right style="medium">
        <color auto="1"/>
      </right>
      <top/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 style="medium">
        <color auto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medium">
        <color theme="1"/>
      </left>
      <right style="thin">
        <color theme="1"/>
      </right>
      <top/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auto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/>
      <right style="medium">
        <color auto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theme="1"/>
      </right>
      <top style="thin">
        <color theme="1"/>
      </top>
      <bottom style="medium">
        <color indexed="64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5" xfId="0" applyFont="1" applyBorder="1"/>
    <xf numFmtId="0" fontId="2" fillId="6" borderId="7" xfId="0" applyFont="1" applyFill="1" applyBorder="1" applyAlignment="1">
      <alignment horizontal="center"/>
    </xf>
    <xf numFmtId="164" fontId="3" fillId="7" borderId="8" xfId="0" applyNumberFormat="1" applyFont="1" applyFill="1" applyBorder="1"/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8" borderId="4" xfId="0" applyFont="1" applyFill="1" applyBorder="1"/>
    <xf numFmtId="0" fontId="2" fillId="8" borderId="11" xfId="0" applyFont="1" applyFill="1" applyBorder="1"/>
    <xf numFmtId="0" fontId="3" fillId="8" borderId="13" xfId="0" applyFont="1" applyFill="1" applyBorder="1" applyAlignment="1">
      <alignment horizontal="left"/>
    </xf>
    <xf numFmtId="0" fontId="3" fillId="8" borderId="14" xfId="0" applyFont="1" applyFill="1" applyBorder="1" applyAlignment="1">
      <alignment horizontal="left"/>
    </xf>
    <xf numFmtId="0" fontId="3" fillId="10" borderId="5" xfId="0" applyFont="1" applyFill="1" applyBorder="1" applyAlignment="1">
      <alignment horizontal="center"/>
    </xf>
    <xf numFmtId="0" fontId="3" fillId="10" borderId="17" xfId="0" applyFont="1" applyFill="1" applyBorder="1" applyAlignment="1">
      <alignment horizontal="center"/>
    </xf>
    <xf numFmtId="0" fontId="3" fillId="10" borderId="18" xfId="0" applyFont="1" applyFill="1" applyBorder="1" applyAlignment="1">
      <alignment horizontal="center"/>
    </xf>
    <xf numFmtId="164" fontId="2" fillId="2" borderId="15" xfId="0" applyNumberFormat="1" applyFont="1" applyFill="1" applyBorder="1"/>
    <xf numFmtId="164" fontId="2" fillId="2" borderId="25" xfId="0" applyNumberFormat="1" applyFont="1" applyFill="1" applyBorder="1"/>
    <xf numFmtId="164" fontId="2" fillId="5" borderId="19" xfId="0" applyNumberFormat="1" applyFont="1" applyFill="1" applyBorder="1"/>
    <xf numFmtId="164" fontId="2" fillId="5" borderId="26" xfId="0" applyNumberFormat="1" applyFont="1" applyFill="1" applyBorder="1"/>
    <xf numFmtId="164" fontId="2" fillId="5" borderId="20" xfId="0" applyNumberFormat="1" applyFont="1" applyFill="1" applyBorder="1"/>
    <xf numFmtId="164" fontId="2" fillId="2" borderId="27" xfId="0" applyNumberFormat="1" applyFont="1" applyFill="1" applyBorder="1"/>
    <xf numFmtId="164" fontId="2" fillId="5" borderId="15" xfId="0" applyNumberFormat="1" applyFont="1" applyFill="1" applyBorder="1"/>
    <xf numFmtId="164" fontId="2" fillId="5" borderId="27" xfId="0" applyNumberFormat="1" applyFont="1" applyFill="1" applyBorder="1"/>
    <xf numFmtId="164" fontId="2" fillId="5" borderId="29" xfId="0" applyNumberFormat="1" applyFont="1" applyFill="1" applyBorder="1"/>
    <xf numFmtId="164" fontId="2" fillId="5" borderId="18" xfId="0" applyNumberFormat="1" applyFont="1" applyFill="1" applyBorder="1"/>
    <xf numFmtId="0" fontId="4" fillId="12" borderId="0" xfId="0" applyFont="1" applyFill="1" applyAlignment="1">
      <alignment horizontal="left"/>
    </xf>
    <xf numFmtId="164" fontId="2" fillId="12" borderId="0" xfId="0" applyNumberFormat="1" applyFont="1" applyFill="1"/>
    <xf numFmtId="164" fontId="2" fillId="12" borderId="28" xfId="0" applyNumberFormat="1" applyFont="1" applyFill="1" applyBorder="1"/>
    <xf numFmtId="164" fontId="2" fillId="9" borderId="30" xfId="0" applyNumberFormat="1" applyFont="1" applyFill="1" applyBorder="1"/>
    <xf numFmtId="164" fontId="2" fillId="9" borderId="31" xfId="0" applyNumberFormat="1" applyFont="1" applyFill="1" applyBorder="1"/>
    <xf numFmtId="164" fontId="2" fillId="9" borderId="11" xfId="0" applyNumberFormat="1" applyFont="1" applyFill="1" applyBorder="1"/>
    <xf numFmtId="164" fontId="5" fillId="9" borderId="30" xfId="0" applyNumberFormat="1" applyFont="1" applyFill="1" applyBorder="1"/>
    <xf numFmtId="164" fontId="5" fillId="9" borderId="31" xfId="0" applyNumberFormat="1" applyFont="1" applyFill="1" applyBorder="1"/>
    <xf numFmtId="164" fontId="5" fillId="9" borderId="11" xfId="0" applyNumberFormat="1" applyFont="1" applyFill="1" applyBorder="1"/>
    <xf numFmtId="0" fontId="0" fillId="0" borderId="0" xfId="0" applyFont="1" applyAlignment="1">
      <alignment horizontal="left"/>
    </xf>
    <xf numFmtId="164" fontId="5" fillId="14" borderId="4" xfId="0" applyNumberFormat="1" applyFont="1" applyFill="1" applyBorder="1"/>
    <xf numFmtId="164" fontId="5" fillId="14" borderId="31" xfId="0" applyNumberFormat="1" applyFont="1" applyFill="1" applyBorder="1"/>
    <xf numFmtId="164" fontId="5" fillId="14" borderId="11" xfId="0" applyNumberFormat="1" applyFont="1" applyFill="1" applyBorder="1"/>
    <xf numFmtId="164" fontId="5" fillId="14" borderId="30" xfId="0" applyNumberFormat="1" applyFont="1" applyFill="1" applyBorder="1"/>
    <xf numFmtId="0" fontId="0" fillId="0" borderId="0" xfId="0" applyAlignment="1"/>
    <xf numFmtId="0" fontId="7" fillId="0" borderId="0" xfId="0" applyFont="1" applyAlignment="1"/>
    <xf numFmtId="0" fontId="8" fillId="16" borderId="0" xfId="0" applyFont="1" applyFill="1" applyBorder="1" applyAlignment="1">
      <alignment horizontal="left" vertical="center" indent="1"/>
    </xf>
    <xf numFmtId="0" fontId="9" fillId="0" borderId="0" xfId="0" applyFont="1" applyAlignment="1"/>
    <xf numFmtId="1" fontId="10" fillId="17" borderId="38" xfId="0" applyNumberFormat="1" applyFont="1" applyFill="1" applyBorder="1" applyAlignment="1">
      <alignment horizontal="right"/>
    </xf>
    <xf numFmtId="165" fontId="10" fillId="17" borderId="38" xfId="0" applyNumberFormat="1" applyFont="1" applyFill="1" applyBorder="1" applyAlignment="1">
      <alignment horizontal="right"/>
    </xf>
    <xf numFmtId="0" fontId="12" fillId="15" borderId="0" xfId="0" applyFont="1" applyFill="1" applyAlignment="1"/>
    <xf numFmtId="0" fontId="12" fillId="15" borderId="0" xfId="0" applyFont="1" applyFill="1" applyAlignment="1">
      <alignment horizontal="center"/>
    </xf>
    <xf numFmtId="9" fontId="10" fillId="17" borderId="38" xfId="0" applyNumberFormat="1" applyFont="1" applyFill="1" applyBorder="1" applyAlignment="1">
      <alignment horizontal="center"/>
    </xf>
    <xf numFmtId="9" fontId="9" fillId="0" borderId="38" xfId="0" applyNumberFormat="1" applyFont="1" applyBorder="1" applyAlignment="1">
      <alignment horizontal="center"/>
    </xf>
    <xf numFmtId="0" fontId="11" fillId="0" borderId="0" xfId="0" applyFont="1" applyAlignment="1"/>
    <xf numFmtId="165" fontId="9" fillId="0" borderId="38" xfId="0" applyNumberFormat="1" applyFont="1" applyBorder="1" applyAlignment="1"/>
    <xf numFmtId="165" fontId="11" fillId="18" borderId="38" xfId="0" applyNumberFormat="1" applyFont="1" applyFill="1" applyBorder="1" applyAlignment="1"/>
    <xf numFmtId="0" fontId="13" fillId="0" borderId="38" xfId="0" applyFont="1" applyBorder="1" applyAlignment="1">
      <alignment horizontal="center"/>
    </xf>
    <xf numFmtId="165" fontId="10" fillId="12" borderId="38" xfId="0" applyNumberFormat="1" applyFont="1" applyFill="1" applyBorder="1" applyAlignment="1"/>
    <xf numFmtId="165" fontId="11" fillId="0" borderId="38" xfId="0" applyNumberFormat="1" applyFont="1" applyBorder="1" applyAlignment="1"/>
    <xf numFmtId="0" fontId="2" fillId="19" borderId="4" xfId="0" applyFont="1" applyFill="1" applyBorder="1" applyAlignment="1">
      <alignment horizontal="left"/>
    </xf>
    <xf numFmtId="0" fontId="2" fillId="20" borderId="11" xfId="0" applyFont="1" applyFill="1" applyBorder="1" applyAlignment="1">
      <alignment horizontal="left"/>
    </xf>
    <xf numFmtId="0" fontId="3" fillId="19" borderId="8" xfId="0" applyFont="1" applyFill="1" applyBorder="1"/>
    <xf numFmtId="0" fontId="3" fillId="20" borderId="12" xfId="0" applyFont="1" applyFill="1" applyBorder="1"/>
    <xf numFmtId="0" fontId="3" fillId="19" borderId="15" xfId="0" applyFont="1" applyFill="1" applyBorder="1"/>
    <xf numFmtId="0" fontId="3" fillId="20" borderId="16" xfId="0" applyFont="1" applyFill="1" applyBorder="1"/>
    <xf numFmtId="0" fontId="3" fillId="19" borderId="19" xfId="0" applyFont="1" applyFill="1" applyBorder="1"/>
    <xf numFmtId="0" fontId="3" fillId="20" borderId="20" xfId="0" applyFont="1" applyFill="1" applyBorder="1"/>
    <xf numFmtId="0" fontId="0" fillId="21" borderId="0" xfId="0" applyFill="1" applyAlignment="1"/>
    <xf numFmtId="165" fontId="11" fillId="0" borderId="39" xfId="0" applyNumberFormat="1" applyFont="1" applyBorder="1" applyAlignment="1"/>
    <xf numFmtId="165" fontId="11" fillId="0" borderId="41" xfId="0" applyNumberFormat="1" applyFont="1" applyBorder="1" applyAlignment="1"/>
    <xf numFmtId="165" fontId="9" fillId="0" borderId="42" xfId="0" applyNumberFormat="1" applyFont="1" applyBorder="1" applyAlignment="1"/>
    <xf numFmtId="165" fontId="0" fillId="0" borderId="0" xfId="0" applyNumberFormat="1" applyAlignment="1"/>
    <xf numFmtId="0" fontId="0" fillId="23" borderId="30" xfId="0" applyFill="1" applyBorder="1" applyAlignment="1"/>
    <xf numFmtId="0" fontId="0" fillId="23" borderId="32" xfId="0" applyFill="1" applyBorder="1" applyAlignment="1"/>
    <xf numFmtId="0" fontId="0" fillId="23" borderId="47" xfId="0" applyFill="1" applyBorder="1" applyAlignment="1"/>
    <xf numFmtId="0" fontId="0" fillId="23" borderId="48" xfId="0" applyFill="1" applyBorder="1" applyAlignment="1"/>
    <xf numFmtId="165" fontId="10" fillId="25" borderId="30" xfId="0" applyNumberFormat="1" applyFont="1" applyFill="1" applyBorder="1" applyAlignment="1"/>
    <xf numFmtId="165" fontId="10" fillId="25" borderId="31" xfId="0" applyNumberFormat="1" applyFont="1" applyFill="1" applyBorder="1" applyAlignment="1"/>
    <xf numFmtId="0" fontId="0" fillId="23" borderId="31" xfId="0" applyFill="1" applyBorder="1" applyAlignment="1"/>
    <xf numFmtId="0" fontId="0" fillId="23" borderId="31" xfId="0" applyFill="1" applyBorder="1"/>
    <xf numFmtId="0" fontId="0" fillId="23" borderId="45" xfId="0" applyFill="1" applyBorder="1"/>
    <xf numFmtId="165" fontId="10" fillId="25" borderId="32" xfId="0" applyNumberFormat="1" applyFont="1" applyFill="1" applyBorder="1" applyAlignment="1"/>
    <xf numFmtId="165" fontId="10" fillId="25" borderId="33" xfId="0" applyNumberFormat="1" applyFont="1" applyFill="1" applyBorder="1" applyAlignment="1"/>
    <xf numFmtId="0" fontId="0" fillId="23" borderId="33" xfId="0" applyFill="1" applyBorder="1" applyAlignment="1"/>
    <xf numFmtId="0" fontId="0" fillId="23" borderId="33" xfId="0" applyFill="1" applyBorder="1"/>
    <xf numFmtId="0" fontId="0" fillId="23" borderId="46" xfId="0" applyFill="1" applyBorder="1"/>
    <xf numFmtId="0" fontId="8" fillId="16" borderId="0" xfId="0" applyFont="1" applyFill="1" applyBorder="1" applyAlignment="1">
      <alignment horizontal="center"/>
    </xf>
    <xf numFmtId="0" fontId="9" fillId="0" borderId="2" xfId="0" applyFont="1" applyBorder="1" applyAlignment="1"/>
    <xf numFmtId="1" fontId="11" fillId="0" borderId="62" xfId="0" applyNumberFormat="1" applyFont="1" applyBorder="1" applyAlignment="1">
      <alignment horizontal="right"/>
    </xf>
    <xf numFmtId="0" fontId="9" fillId="0" borderId="36" xfId="0" applyFont="1" applyBorder="1" applyAlignment="1"/>
    <xf numFmtId="165" fontId="11" fillId="0" borderId="63" xfId="0" applyNumberFormat="1" applyFont="1" applyBorder="1" applyAlignment="1">
      <alignment horizontal="right"/>
    </xf>
    <xf numFmtId="165" fontId="11" fillId="21" borderId="63" xfId="0" applyNumberFormat="1" applyFont="1" applyFill="1" applyBorder="1" applyAlignment="1">
      <alignment horizontal="right"/>
    </xf>
    <xf numFmtId="0" fontId="9" fillId="0" borderId="37" xfId="0" applyFont="1" applyBorder="1" applyAlignment="1"/>
    <xf numFmtId="165" fontId="11" fillId="21" borderId="64" xfId="0" applyNumberFormat="1" applyFont="1" applyFill="1" applyBorder="1" applyAlignment="1">
      <alignment horizontal="right"/>
    </xf>
    <xf numFmtId="0" fontId="2" fillId="4" borderId="43" xfId="0" applyFont="1" applyFill="1" applyBorder="1" applyAlignment="1">
      <alignment horizontal="center"/>
    </xf>
    <xf numFmtId="0" fontId="2" fillId="6" borderId="71" xfId="0" applyFont="1" applyFill="1" applyBorder="1" applyAlignment="1">
      <alignment horizontal="center"/>
    </xf>
    <xf numFmtId="165" fontId="15" fillId="0" borderId="38" xfId="0" applyNumberFormat="1" applyFont="1" applyBorder="1"/>
    <xf numFmtId="0" fontId="15" fillId="0" borderId="0" xfId="0" applyFont="1"/>
    <xf numFmtId="0" fontId="10" fillId="0" borderId="38" xfId="0" applyFont="1" applyBorder="1"/>
    <xf numFmtId="165" fontId="10" fillId="0" borderId="38" xfId="0" applyNumberFormat="1" applyFont="1" applyBorder="1"/>
    <xf numFmtId="1" fontId="10" fillId="0" borderId="38" xfId="0" applyNumberFormat="1" applyFont="1" applyBorder="1"/>
    <xf numFmtId="0" fontId="12" fillId="15" borderId="0" xfId="0" applyFont="1" applyFill="1" applyAlignment="1">
      <alignment horizontal="center" wrapText="1"/>
    </xf>
    <xf numFmtId="0" fontId="9" fillId="0" borderId="38" xfId="0" applyFont="1" applyBorder="1" applyAlignment="1">
      <alignment horizontal="center"/>
    </xf>
    <xf numFmtId="165" fontId="9" fillId="0" borderId="38" xfId="0" applyNumberFormat="1" applyFont="1" applyBorder="1" applyAlignment="1">
      <alignment horizontal="center"/>
    </xf>
    <xf numFmtId="0" fontId="9" fillId="0" borderId="38" xfId="0" applyFont="1" applyBorder="1" applyAlignment="1">
      <alignment horizontal="left"/>
    </xf>
    <xf numFmtId="0" fontId="7" fillId="0" borderId="0" xfId="0" applyFont="1"/>
    <xf numFmtId="0" fontId="2" fillId="6" borderId="72" xfId="0" applyFont="1" applyFill="1" applyBorder="1" applyAlignment="1">
      <alignment horizontal="center"/>
    </xf>
    <xf numFmtId="164" fontId="3" fillId="7" borderId="4" xfId="0" applyNumberFormat="1" applyFont="1" applyFill="1" applyBorder="1"/>
    <xf numFmtId="164" fontId="3" fillId="7" borderId="73" xfId="0" applyNumberFormat="1" applyFont="1" applyFill="1" applyBorder="1"/>
    <xf numFmtId="0" fontId="2" fillId="6" borderId="74" xfId="0" applyFont="1" applyFill="1" applyBorder="1" applyAlignment="1">
      <alignment horizontal="center"/>
    </xf>
    <xf numFmtId="164" fontId="3" fillId="7" borderId="24" xfId="0" applyNumberFormat="1" applyFont="1" applyFill="1" applyBorder="1"/>
    <xf numFmtId="0" fontId="3" fillId="0" borderId="17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4" fontId="0" fillId="0" borderId="0" xfId="0" applyNumberFormat="1"/>
    <xf numFmtId="164" fontId="3" fillId="28" borderId="4" xfId="0" applyNumberFormat="1" applyFont="1" applyFill="1" applyBorder="1"/>
    <xf numFmtId="164" fontId="3" fillId="28" borderId="8" xfId="0" applyNumberFormat="1" applyFont="1" applyFill="1" applyBorder="1"/>
    <xf numFmtId="164" fontId="3" fillId="28" borderId="24" xfId="0" applyNumberFormat="1" applyFont="1" applyFill="1" applyBorder="1"/>
    <xf numFmtId="0" fontId="5" fillId="4" borderId="67" xfId="0" applyFont="1" applyFill="1" applyBorder="1" applyAlignment="1">
      <alignment horizontal="center" vertical="center"/>
    </xf>
    <xf numFmtId="0" fontId="5" fillId="4" borderId="70" xfId="0" applyFont="1" applyFill="1" applyBorder="1" applyAlignment="1">
      <alignment horizontal="center" vertical="center"/>
    </xf>
    <xf numFmtId="0" fontId="5" fillId="4" borderId="65" xfId="0" applyFont="1" applyFill="1" applyBorder="1" applyAlignment="1">
      <alignment horizontal="center" vertical="center"/>
    </xf>
    <xf numFmtId="0" fontId="5" fillId="4" borderId="69" xfId="0" applyFont="1" applyFill="1" applyBorder="1" applyAlignment="1">
      <alignment horizontal="center" vertical="center"/>
    </xf>
    <xf numFmtId="164" fontId="5" fillId="14" borderId="34" xfId="0" applyNumberFormat="1" applyFont="1" applyFill="1" applyBorder="1" applyAlignment="1">
      <alignment horizontal="center"/>
    </xf>
    <xf numFmtId="0" fontId="0" fillId="9" borderId="5" xfId="0" applyFont="1" applyFill="1" applyBorder="1" applyAlignment="1">
      <alignment horizontal="left"/>
    </xf>
    <xf numFmtId="0" fontId="0" fillId="9" borderId="54" xfId="0" applyFont="1" applyFill="1" applyBorder="1" applyAlignment="1">
      <alignment horizontal="left"/>
    </xf>
    <xf numFmtId="0" fontId="0" fillId="9" borderId="55" xfId="0" applyFont="1" applyFill="1" applyBorder="1" applyAlignment="1">
      <alignment horizontal="left"/>
    </xf>
    <xf numFmtId="0" fontId="0" fillId="9" borderId="56" xfId="0" applyFont="1" applyFill="1" applyBorder="1" applyAlignment="1">
      <alignment horizontal="left"/>
    </xf>
    <xf numFmtId="0" fontId="0" fillId="13" borderId="57" xfId="0" applyFont="1" applyFill="1" applyBorder="1" applyAlignment="1">
      <alignment horizontal="left"/>
    </xf>
    <xf numFmtId="0" fontId="0" fillId="13" borderId="58" xfId="0" applyFont="1" applyFill="1" applyBorder="1" applyAlignment="1">
      <alignment horizontal="left"/>
    </xf>
    <xf numFmtId="0" fontId="4" fillId="13" borderId="57" xfId="0" applyFont="1" applyFill="1" applyBorder="1" applyAlignment="1">
      <alignment horizontal="left"/>
    </xf>
    <xf numFmtId="0" fontId="4" fillId="13" borderId="58" xfId="0" applyFont="1" applyFill="1" applyBorder="1" applyAlignment="1">
      <alignment horizontal="left"/>
    </xf>
    <xf numFmtId="164" fontId="5" fillId="14" borderId="24" xfId="0" applyNumberFormat="1" applyFont="1" applyFill="1" applyBorder="1" applyAlignment="1">
      <alignment horizontal="center"/>
    </xf>
    <xf numFmtId="164" fontId="5" fillId="14" borderId="33" xfId="0" applyNumberFormat="1" applyFont="1" applyFill="1" applyBorder="1" applyAlignment="1">
      <alignment horizontal="center"/>
    </xf>
    <xf numFmtId="0" fontId="0" fillId="14" borderId="43" xfId="0" applyFont="1" applyFill="1" applyBorder="1" applyAlignment="1">
      <alignment horizontal="center" vertical="center"/>
    </xf>
    <xf numFmtId="0" fontId="0" fillId="14" borderId="44" xfId="0" applyFont="1" applyFill="1" applyBorder="1" applyAlignment="1">
      <alignment horizontal="center" vertical="center"/>
    </xf>
    <xf numFmtId="0" fontId="0" fillId="14" borderId="36" xfId="0" applyFont="1" applyFill="1" applyBorder="1" applyAlignment="1">
      <alignment horizontal="center" vertical="center"/>
    </xf>
    <xf numFmtId="0" fontId="0" fillId="14" borderId="37" xfId="0" applyFont="1" applyFill="1" applyBorder="1" applyAlignment="1">
      <alignment horizontal="center" vertical="center"/>
    </xf>
    <xf numFmtId="0" fontId="0" fillId="22" borderId="51" xfId="0" applyFont="1" applyFill="1" applyBorder="1" applyAlignment="1">
      <alignment horizontal="left"/>
    </xf>
    <xf numFmtId="0" fontId="0" fillId="22" borderId="52" xfId="0" applyFont="1" applyFill="1" applyBorder="1" applyAlignment="1">
      <alignment horizontal="left"/>
    </xf>
    <xf numFmtId="0" fontId="0" fillId="22" borderId="49" xfId="0" applyFont="1" applyFill="1" applyBorder="1" applyAlignment="1">
      <alignment horizontal="left"/>
    </xf>
    <xf numFmtId="0" fontId="0" fillId="22" borderId="50" xfId="0" applyFont="1" applyFill="1" applyBorder="1" applyAlignment="1">
      <alignment horizontal="left"/>
    </xf>
    <xf numFmtId="164" fontId="5" fillId="24" borderId="30" xfId="0" applyNumberFormat="1" applyFont="1" applyFill="1" applyBorder="1" applyAlignment="1">
      <alignment horizontal="right" vertical="top"/>
    </xf>
    <xf numFmtId="164" fontId="5" fillId="24" borderId="31" xfId="0" applyNumberFormat="1" applyFont="1" applyFill="1" applyBorder="1" applyAlignment="1">
      <alignment horizontal="right" vertical="top"/>
    </xf>
    <xf numFmtId="164" fontId="5" fillId="24" borderId="45" xfId="0" applyNumberFormat="1" applyFont="1" applyFill="1" applyBorder="1" applyAlignment="1">
      <alignment horizontal="right" vertical="top"/>
    </xf>
    <xf numFmtId="164" fontId="5" fillId="24" borderId="32" xfId="0" applyNumberFormat="1" applyFont="1" applyFill="1" applyBorder="1" applyAlignment="1">
      <alignment horizontal="right" vertical="top"/>
    </xf>
    <xf numFmtId="164" fontId="5" fillId="24" borderId="33" xfId="0" applyNumberFormat="1" applyFont="1" applyFill="1" applyBorder="1" applyAlignment="1">
      <alignment horizontal="right" vertical="top"/>
    </xf>
    <xf numFmtId="164" fontId="5" fillId="24" borderId="46" xfId="0" applyNumberFormat="1" applyFont="1" applyFill="1" applyBorder="1" applyAlignment="1">
      <alignment horizontal="right" vertical="top"/>
    </xf>
    <xf numFmtId="0" fontId="0" fillId="5" borderId="37" xfId="0" applyFont="1" applyFill="1" applyBorder="1" applyAlignment="1">
      <alignment horizontal="center"/>
    </xf>
    <xf numFmtId="0" fontId="0" fillId="5" borderId="23" xfId="0" applyFont="1" applyFill="1" applyBorder="1" applyAlignment="1">
      <alignment horizontal="center"/>
    </xf>
    <xf numFmtId="0" fontId="0" fillId="5" borderId="2" xfId="0" applyFont="1" applyFill="1" applyBorder="1" applyAlignment="1">
      <alignment horizontal="left"/>
    </xf>
    <xf numFmtId="0" fontId="0" fillId="5" borderId="27" xfId="0" applyFont="1" applyFill="1" applyBorder="1" applyAlignment="1">
      <alignment horizontal="left"/>
    </xf>
    <xf numFmtId="0" fontId="0" fillId="12" borderId="49" xfId="0" applyFont="1" applyFill="1" applyBorder="1" applyAlignment="1">
      <alignment horizontal="left"/>
    </xf>
    <xf numFmtId="0" fontId="0" fillId="12" borderId="40" xfId="0" applyFont="1" applyFill="1" applyBorder="1" applyAlignment="1">
      <alignment horizontal="left"/>
    </xf>
    <xf numFmtId="0" fontId="0" fillId="12" borderId="51" xfId="0" applyFont="1" applyFill="1" applyBorder="1" applyAlignment="1">
      <alignment horizontal="left"/>
    </xf>
    <xf numFmtId="0" fontId="0" fillId="12" borderId="53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center" vertical="center"/>
    </xf>
    <xf numFmtId="164" fontId="5" fillId="9" borderId="34" xfId="0" applyNumberFormat="1" applyFont="1" applyFill="1" applyBorder="1" applyAlignment="1">
      <alignment horizontal="center"/>
    </xf>
    <xf numFmtId="164" fontId="5" fillId="9" borderId="35" xfId="0" applyNumberFormat="1" applyFont="1" applyFill="1" applyBorder="1" applyAlignment="1">
      <alignment horizontal="center"/>
    </xf>
    <xf numFmtId="164" fontId="5" fillId="9" borderId="30" xfId="0" applyNumberFormat="1" applyFont="1" applyFill="1" applyBorder="1" applyAlignment="1">
      <alignment horizontal="right" vertical="top"/>
    </xf>
    <xf numFmtId="164" fontId="5" fillId="9" borderId="22" xfId="0" applyNumberFormat="1" applyFont="1" applyFill="1" applyBorder="1" applyAlignment="1">
      <alignment horizontal="right"/>
    </xf>
    <xf numFmtId="0" fontId="4" fillId="12" borderId="57" xfId="0" applyFont="1" applyFill="1" applyBorder="1" applyAlignment="1">
      <alignment horizontal="left"/>
    </xf>
    <xf numFmtId="0" fontId="4" fillId="12" borderId="58" xfId="0" applyFont="1" applyFill="1" applyBorder="1" applyAlignment="1">
      <alignment horizontal="left"/>
    </xf>
    <xf numFmtId="0" fontId="4" fillId="5" borderId="57" xfId="0" applyFont="1" applyFill="1" applyBorder="1" applyAlignment="1">
      <alignment horizontal="left"/>
    </xf>
    <xf numFmtId="0" fontId="4" fillId="5" borderId="18" xfId="0" applyFont="1" applyFill="1" applyBorder="1" applyAlignment="1">
      <alignment horizontal="left"/>
    </xf>
    <xf numFmtId="0" fontId="4" fillId="0" borderId="59" xfId="0" applyFont="1" applyBorder="1" applyAlignment="1">
      <alignment horizontal="left"/>
    </xf>
    <xf numFmtId="0" fontId="4" fillId="0" borderId="60" xfId="0" applyFont="1" applyBorder="1" applyAlignment="1">
      <alignment horizontal="left"/>
    </xf>
    <xf numFmtId="0" fontId="4" fillId="5" borderId="36" xfId="0" applyFont="1" applyFill="1" applyBorder="1" applyAlignment="1">
      <alignment horizontal="left"/>
    </xf>
    <xf numFmtId="0" fontId="4" fillId="5" borderId="28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164" fontId="2" fillId="5" borderId="22" xfId="0" applyNumberFormat="1" applyFont="1" applyFill="1" applyBorder="1" applyAlignment="1">
      <alignment horizontal="center"/>
    </xf>
    <xf numFmtId="164" fontId="2" fillId="9" borderId="32" xfId="0" applyNumberFormat="1" applyFont="1" applyFill="1" applyBorder="1" applyAlignment="1">
      <alignment horizontal="center"/>
    </xf>
    <xf numFmtId="164" fontId="2" fillId="9" borderId="33" xfId="0" applyNumberFormat="1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 vertical="center"/>
    </xf>
    <xf numFmtId="0" fontId="3" fillId="0" borderId="57" xfId="0" applyFont="1" applyBorder="1" applyAlignment="1">
      <alignment horizontal="left"/>
    </xf>
    <xf numFmtId="0" fontId="3" fillId="0" borderId="61" xfId="0" applyFont="1" applyBorder="1" applyAlignment="1">
      <alignment horizontal="left"/>
    </xf>
    <xf numFmtId="0" fontId="3" fillId="5" borderId="57" xfId="0" applyFont="1" applyFill="1" applyBorder="1" applyAlignment="1">
      <alignment horizontal="left"/>
    </xf>
    <xf numFmtId="0" fontId="3" fillId="5" borderId="18" xfId="0" applyFont="1" applyFill="1" applyBorder="1" applyAlignment="1">
      <alignment horizontal="left"/>
    </xf>
    <xf numFmtId="164" fontId="2" fillId="0" borderId="23" xfId="0" applyNumberFormat="1" applyFont="1" applyBorder="1" applyAlignment="1">
      <alignment horizontal="center"/>
    </xf>
    <xf numFmtId="0" fontId="3" fillId="0" borderId="58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0" fontId="3" fillId="5" borderId="58" xfId="0" applyFont="1" applyFill="1" applyBorder="1" applyAlignment="1">
      <alignment horizontal="left"/>
    </xf>
    <xf numFmtId="164" fontId="2" fillId="5" borderId="1" xfId="0" applyNumberFormat="1" applyFont="1" applyFill="1" applyBorder="1" applyAlignment="1">
      <alignment horizontal="right" vertical="center"/>
    </xf>
    <xf numFmtId="0" fontId="3" fillId="5" borderId="61" xfId="0" applyFont="1" applyFill="1" applyBorder="1" applyAlignment="1">
      <alignment horizontal="left"/>
    </xf>
    <xf numFmtId="164" fontId="2" fillId="0" borderId="22" xfId="0" applyNumberFormat="1" applyFont="1" applyBorder="1" applyAlignment="1">
      <alignment horizontal="center"/>
    </xf>
    <xf numFmtId="164" fontId="2" fillId="5" borderId="23" xfId="0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14" fillId="26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left"/>
    </xf>
    <xf numFmtId="0" fontId="5" fillId="4" borderId="66" xfId="0" applyFont="1" applyFill="1" applyBorder="1" applyAlignment="1">
      <alignment horizontal="center" vertical="center"/>
    </xf>
    <xf numFmtId="0" fontId="5" fillId="4" borderId="68" xfId="0" applyFont="1" applyFill="1" applyBorder="1" applyAlignment="1">
      <alignment horizontal="center" vertical="center"/>
    </xf>
    <xf numFmtId="165" fontId="11" fillId="0" borderId="43" xfId="0" applyNumberFormat="1" applyFont="1" applyBorder="1" applyAlignment="1">
      <alignment horizontal="center"/>
    </xf>
    <xf numFmtId="165" fontId="11" fillId="0" borderId="44" xfId="0" applyNumberFormat="1" applyFont="1" applyBorder="1" applyAlignment="1">
      <alignment horizontal="center"/>
    </xf>
    <xf numFmtId="165" fontId="11" fillId="0" borderId="36" xfId="0" applyNumberFormat="1" applyFont="1" applyBorder="1" applyAlignment="1">
      <alignment horizontal="center"/>
    </xf>
    <xf numFmtId="165" fontId="11" fillId="0" borderId="37" xfId="0" applyNumberFormat="1" applyFont="1" applyBorder="1" applyAlignment="1">
      <alignment horizontal="center"/>
    </xf>
    <xf numFmtId="0" fontId="6" fillId="15" borderId="0" xfId="0" applyFont="1" applyFill="1" applyBorder="1" applyAlignment="1">
      <alignment horizontal="left" vertical="center" indent="1"/>
    </xf>
    <xf numFmtId="0" fontId="8" fillId="16" borderId="0" xfId="0" applyFont="1" applyFill="1" applyBorder="1" applyAlignment="1">
      <alignment horizontal="left" vertical="center" indent="1"/>
    </xf>
    <xf numFmtId="0" fontId="7" fillId="0" borderId="0" xfId="0" applyFont="1" applyBorder="1" applyAlignment="1"/>
    <xf numFmtId="0" fontId="8" fillId="27" borderId="0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B4E3"/>
      <rgbColor rgb="FF993366"/>
      <rgbColor rgb="FFFDEADA"/>
      <rgbColor rgb="FFDBEEF4"/>
      <rgbColor rgb="FF660066"/>
      <rgbColor rgb="FFD99694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1F2"/>
      <rgbColor rgb="FFFCD5B5"/>
      <rgbColor rgb="FF93CDDD"/>
      <rgbColor rgb="FFE6E0EC"/>
      <rgbColor rgb="FFCCC1DA"/>
      <rgbColor rgb="FFFAC090"/>
      <rgbColor rgb="FF4F81BD"/>
      <rgbColor rgb="FF33CCCC"/>
      <rgbColor rgb="FF99CC00"/>
      <rgbColor rgb="FFFFCC00"/>
      <rgbColor rgb="FFFF9900"/>
      <rgbColor rgb="FFFF6600"/>
      <rgbColor rgb="FF8064A2"/>
      <rgbColor rgb="FFB7DEE8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56"/>
  <sheetViews>
    <sheetView topLeftCell="D14" zoomScale="130" zoomScaleNormal="130" workbookViewId="0">
      <selection activeCell="J55" sqref="J55:U55"/>
    </sheetView>
  </sheetViews>
  <sheetFormatPr baseColWidth="10" defaultColWidth="8.6640625" defaultRowHeight="14.4" x14ac:dyDescent="0.3"/>
  <cols>
    <col min="3" max="3" width="14.5546875" customWidth="1"/>
    <col min="4" max="4" width="19.5546875" customWidth="1"/>
    <col min="5" max="5" width="9.44140625" customWidth="1"/>
    <col min="6" max="6" width="14" customWidth="1"/>
    <col min="7" max="7" width="13" customWidth="1"/>
    <col min="8" max="8" width="14.21875" customWidth="1"/>
    <col min="10" max="10" width="13.44140625" customWidth="1"/>
    <col min="11" max="11" width="13.21875" customWidth="1"/>
    <col min="12" max="12" width="13.33203125" customWidth="1"/>
    <col min="13" max="13" width="12.5546875" customWidth="1"/>
    <col min="14" max="14" width="12.44140625" customWidth="1"/>
    <col min="15" max="15" width="13.21875" customWidth="1"/>
    <col min="16" max="16" width="13" customWidth="1"/>
    <col min="17" max="17" width="12.33203125" customWidth="1"/>
    <col min="18" max="18" width="13.33203125" customWidth="1"/>
    <col min="19" max="19" width="13.109375" customWidth="1"/>
    <col min="20" max="20" width="13" customWidth="1"/>
    <col min="21" max="21" width="12.6640625" customWidth="1"/>
    <col min="22" max="22" width="12.5546875" customWidth="1"/>
  </cols>
  <sheetData>
    <row r="2" spans="2:22" ht="23.4" x14ac:dyDescent="0.45">
      <c r="G2" s="186" t="s">
        <v>0</v>
      </c>
      <c r="H2" s="186"/>
      <c r="I2" s="186"/>
      <c r="J2" s="186"/>
      <c r="K2" s="186"/>
    </row>
    <row r="3" spans="2:22" ht="15" thickBot="1" x14ac:dyDescent="0.35"/>
    <row r="4" spans="2:22" ht="15" thickBot="1" x14ac:dyDescent="0.35">
      <c r="C4" s="1" t="s">
        <v>1</v>
      </c>
      <c r="D4" s="187" t="s">
        <v>2</v>
      </c>
      <c r="E4" s="187"/>
      <c r="I4" s="90" t="s">
        <v>3</v>
      </c>
      <c r="J4" s="191" t="s">
        <v>4</v>
      </c>
      <c r="K4" s="115" t="s">
        <v>5</v>
      </c>
      <c r="L4" s="115" t="s">
        <v>6</v>
      </c>
      <c r="M4" s="115" t="s">
        <v>7</v>
      </c>
      <c r="N4" s="115" t="s">
        <v>8</v>
      </c>
      <c r="O4" s="115" t="s">
        <v>9</v>
      </c>
      <c r="P4" s="115" t="s">
        <v>10</v>
      </c>
      <c r="Q4" s="115" t="s">
        <v>11</v>
      </c>
      <c r="R4" s="115" t="s">
        <v>12</v>
      </c>
      <c r="S4" s="115" t="s">
        <v>13</v>
      </c>
      <c r="T4" s="115" t="s">
        <v>14</v>
      </c>
      <c r="U4" s="113" t="s">
        <v>15</v>
      </c>
      <c r="V4" s="113" t="s">
        <v>4</v>
      </c>
    </row>
    <row r="5" spans="2:22" ht="15" thickBot="1" x14ac:dyDescent="0.35">
      <c r="C5" s="3" t="s">
        <v>16</v>
      </c>
      <c r="D5" s="188">
        <v>2</v>
      </c>
      <c r="E5" s="188"/>
      <c r="I5" s="91" t="s">
        <v>17</v>
      </c>
      <c r="J5" s="192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4"/>
      <c r="V5" s="114"/>
    </row>
    <row r="6" spans="2:22" ht="15" thickBot="1" x14ac:dyDescent="0.35">
      <c r="C6" s="3" t="s">
        <v>18</v>
      </c>
      <c r="D6" s="6" t="s">
        <v>19</v>
      </c>
      <c r="E6" s="7"/>
      <c r="I6" s="102">
        <v>1</v>
      </c>
      <c r="J6" s="110">
        <v>10000</v>
      </c>
      <c r="K6" s="103">
        <v>10000</v>
      </c>
      <c r="L6" s="103">
        <v>10000</v>
      </c>
      <c r="M6" s="103">
        <v>10000</v>
      </c>
      <c r="N6" s="103">
        <v>10000</v>
      </c>
      <c r="O6" s="103">
        <v>10000</v>
      </c>
      <c r="P6" s="103">
        <v>10000</v>
      </c>
      <c r="Q6" s="103">
        <v>10000</v>
      </c>
      <c r="R6" s="103">
        <v>10000</v>
      </c>
      <c r="S6" s="103">
        <v>10000</v>
      </c>
      <c r="T6" s="103">
        <v>10000</v>
      </c>
      <c r="U6" s="104">
        <v>10000</v>
      </c>
      <c r="V6" s="104">
        <v>0</v>
      </c>
    </row>
    <row r="7" spans="2:22" ht="15" thickBot="1" x14ac:dyDescent="0.35">
      <c r="I7" s="4">
        <v>2</v>
      </c>
      <c r="J7" s="111">
        <v>10000</v>
      </c>
      <c r="K7" s="5">
        <v>10000</v>
      </c>
      <c r="L7" s="5">
        <v>10000</v>
      </c>
      <c r="M7" s="5">
        <v>10000</v>
      </c>
      <c r="N7" s="5">
        <v>10000</v>
      </c>
      <c r="O7" s="5">
        <v>10000</v>
      </c>
      <c r="P7" s="5">
        <v>10000</v>
      </c>
      <c r="Q7" s="5">
        <v>10000</v>
      </c>
      <c r="R7" s="5">
        <v>10000</v>
      </c>
      <c r="S7" s="5">
        <v>10000</v>
      </c>
      <c r="T7" s="5">
        <v>10000</v>
      </c>
      <c r="U7" s="104">
        <v>10000</v>
      </c>
      <c r="V7" s="104">
        <v>0</v>
      </c>
    </row>
    <row r="8" spans="2:22" ht="15" thickBot="1" x14ac:dyDescent="0.35">
      <c r="B8" s="189" t="s">
        <v>20</v>
      </c>
      <c r="C8" s="189"/>
      <c r="D8" s="8" t="s">
        <v>21</v>
      </c>
      <c r="E8" s="9"/>
      <c r="F8" s="55" t="s">
        <v>22</v>
      </c>
      <c r="G8" s="56" t="s">
        <v>23</v>
      </c>
      <c r="I8" s="4">
        <v>3</v>
      </c>
      <c r="J8" s="111">
        <v>10000</v>
      </c>
      <c r="K8" s="5">
        <v>10000</v>
      </c>
      <c r="L8" s="5">
        <v>10000</v>
      </c>
      <c r="M8" s="5">
        <v>10000</v>
      </c>
      <c r="N8" s="5">
        <v>10000</v>
      </c>
      <c r="O8" s="5">
        <v>10000</v>
      </c>
      <c r="P8" s="5">
        <v>10000</v>
      </c>
      <c r="Q8" s="5">
        <v>10000</v>
      </c>
      <c r="R8" s="5">
        <v>10000</v>
      </c>
      <c r="S8" s="5">
        <v>10000</v>
      </c>
      <c r="T8" s="5">
        <v>10000</v>
      </c>
      <c r="U8" s="104">
        <v>10000</v>
      </c>
      <c r="V8" s="104">
        <v>0</v>
      </c>
    </row>
    <row r="9" spans="2:22" ht="15" thickBot="1" x14ac:dyDescent="0.35">
      <c r="B9" s="181" t="s">
        <v>24</v>
      </c>
      <c r="C9" s="181"/>
      <c r="D9" s="190" t="s">
        <v>25</v>
      </c>
      <c r="E9" s="190"/>
      <c r="F9" s="57">
        <v>10000</v>
      </c>
      <c r="G9" s="58">
        <f>F9*6</f>
        <v>60000</v>
      </c>
      <c r="I9" s="4">
        <v>4</v>
      </c>
      <c r="J9" s="111">
        <v>10000</v>
      </c>
      <c r="K9" s="5">
        <v>10000</v>
      </c>
      <c r="L9" s="5">
        <v>10000</v>
      </c>
      <c r="M9" s="5">
        <v>10000</v>
      </c>
      <c r="N9" s="5">
        <v>10000</v>
      </c>
      <c r="O9" s="5">
        <v>10000</v>
      </c>
      <c r="P9" s="5">
        <v>10000</v>
      </c>
      <c r="Q9" s="5">
        <v>10000</v>
      </c>
      <c r="R9" s="5">
        <v>10000</v>
      </c>
      <c r="S9" s="5">
        <v>10000</v>
      </c>
      <c r="T9" s="5">
        <v>10000</v>
      </c>
      <c r="U9" s="104">
        <v>10000</v>
      </c>
      <c r="V9" s="104">
        <v>0</v>
      </c>
    </row>
    <row r="10" spans="2:22" ht="15" thickBot="1" x14ac:dyDescent="0.35">
      <c r="B10" s="181" t="s">
        <v>24</v>
      </c>
      <c r="C10" s="181"/>
      <c r="D10" s="10" t="s">
        <v>25</v>
      </c>
      <c r="E10" s="11"/>
      <c r="F10" s="59">
        <v>10000</v>
      </c>
      <c r="G10" s="60">
        <f>F10*6</f>
        <v>60000</v>
      </c>
      <c r="I10" s="4">
        <v>5</v>
      </c>
      <c r="J10" s="111">
        <v>10000</v>
      </c>
      <c r="K10" s="5">
        <v>10000</v>
      </c>
      <c r="L10" s="5">
        <v>10000</v>
      </c>
      <c r="M10" s="5">
        <v>10000</v>
      </c>
      <c r="N10" s="5">
        <v>10000</v>
      </c>
      <c r="O10" s="5">
        <v>10000</v>
      </c>
      <c r="P10" s="5">
        <v>10000</v>
      </c>
      <c r="Q10" s="5">
        <v>10000</v>
      </c>
      <c r="R10" s="5">
        <v>10000</v>
      </c>
      <c r="S10" s="5">
        <v>10000</v>
      </c>
      <c r="T10" s="5">
        <v>10000</v>
      </c>
      <c r="U10" s="104">
        <v>10000</v>
      </c>
      <c r="V10" s="104">
        <v>0</v>
      </c>
    </row>
    <row r="11" spans="2:22" ht="15" thickBot="1" x14ac:dyDescent="0.35">
      <c r="B11" s="12" t="s">
        <v>26</v>
      </c>
      <c r="C11" s="13"/>
      <c r="D11" s="13"/>
      <c r="E11" s="14"/>
      <c r="F11" s="61">
        <f>(F9+F10)*6</f>
        <v>120000</v>
      </c>
      <c r="G11" s="62">
        <f>(G9+G10)*4</f>
        <v>480000</v>
      </c>
      <c r="I11" s="4">
        <v>6</v>
      </c>
      <c r="J11" s="111">
        <v>10000</v>
      </c>
      <c r="K11" s="5">
        <v>10000</v>
      </c>
      <c r="L11" s="5">
        <v>10000</v>
      </c>
      <c r="M11" s="5">
        <v>10000</v>
      </c>
      <c r="N11" s="5">
        <v>10000</v>
      </c>
      <c r="O11" s="5">
        <v>10000</v>
      </c>
      <c r="P11" s="5">
        <v>10000</v>
      </c>
      <c r="Q11" s="5">
        <v>10000</v>
      </c>
      <c r="R11" s="5">
        <v>10000</v>
      </c>
      <c r="S11" s="5">
        <v>10000</v>
      </c>
      <c r="T11" s="5">
        <v>10000</v>
      </c>
      <c r="U11" s="104">
        <v>10000</v>
      </c>
      <c r="V11" s="104">
        <v>0</v>
      </c>
    </row>
    <row r="12" spans="2:22" ht="15" thickBot="1" x14ac:dyDescent="0.35">
      <c r="B12" s="182" t="s">
        <v>27</v>
      </c>
      <c r="C12" s="182"/>
      <c r="I12" s="4">
        <v>7</v>
      </c>
      <c r="J12" s="111">
        <v>10000</v>
      </c>
      <c r="K12" s="5">
        <v>10000</v>
      </c>
      <c r="L12" s="5">
        <v>10000</v>
      </c>
      <c r="M12" s="5">
        <v>10000</v>
      </c>
      <c r="N12" s="5">
        <v>10000</v>
      </c>
      <c r="O12" s="5">
        <v>10000</v>
      </c>
      <c r="P12" s="5">
        <v>10000</v>
      </c>
      <c r="Q12" s="5">
        <v>10000</v>
      </c>
      <c r="R12" s="5">
        <v>10000</v>
      </c>
      <c r="S12" s="5">
        <v>10000</v>
      </c>
      <c r="T12" s="5">
        <v>10000</v>
      </c>
      <c r="U12" s="104">
        <v>10000</v>
      </c>
      <c r="V12" s="104">
        <v>0</v>
      </c>
    </row>
    <row r="13" spans="2:22" ht="15" thickBot="1" x14ac:dyDescent="0.35">
      <c r="B13" s="183" t="s">
        <v>28</v>
      </c>
      <c r="C13" s="183"/>
      <c r="I13" s="4">
        <v>8</v>
      </c>
      <c r="J13" s="111">
        <v>10000</v>
      </c>
      <c r="K13" s="5">
        <v>10000</v>
      </c>
      <c r="L13" s="5">
        <v>10000</v>
      </c>
      <c r="M13" s="5">
        <v>10000</v>
      </c>
      <c r="N13" s="5">
        <v>10000</v>
      </c>
      <c r="O13" s="5">
        <v>10000</v>
      </c>
      <c r="P13" s="5">
        <v>10000</v>
      </c>
      <c r="Q13" s="5">
        <v>10000</v>
      </c>
      <c r="R13" s="5">
        <v>10000</v>
      </c>
      <c r="S13" s="5">
        <v>10000</v>
      </c>
      <c r="T13" s="5">
        <v>10000</v>
      </c>
      <c r="U13" s="104">
        <v>10000</v>
      </c>
      <c r="V13" s="104">
        <v>0</v>
      </c>
    </row>
    <row r="14" spans="2:22" ht="15" thickBot="1" x14ac:dyDescent="0.35">
      <c r="I14" s="4">
        <v>9</v>
      </c>
      <c r="J14" s="111">
        <v>10000</v>
      </c>
      <c r="K14" s="5">
        <v>10000</v>
      </c>
      <c r="L14" s="5">
        <v>10000</v>
      </c>
      <c r="M14" s="5">
        <v>10000</v>
      </c>
      <c r="N14" s="5">
        <v>10000</v>
      </c>
      <c r="O14" s="5">
        <v>10000</v>
      </c>
      <c r="P14" s="5">
        <v>10000</v>
      </c>
      <c r="Q14" s="5">
        <v>10000</v>
      </c>
      <c r="R14" s="5">
        <v>10000</v>
      </c>
      <c r="S14" s="5">
        <v>10000</v>
      </c>
      <c r="T14" s="5">
        <v>10000</v>
      </c>
      <c r="U14" s="104">
        <v>10000</v>
      </c>
      <c r="V14" s="104">
        <v>0</v>
      </c>
    </row>
    <row r="15" spans="2:22" ht="15" thickBot="1" x14ac:dyDescent="0.35">
      <c r="I15" s="4">
        <v>10</v>
      </c>
      <c r="J15" s="111">
        <v>10000</v>
      </c>
      <c r="K15" s="5">
        <v>10000</v>
      </c>
      <c r="L15" s="5">
        <v>10000</v>
      </c>
      <c r="M15" s="5">
        <v>10000</v>
      </c>
      <c r="N15" s="5">
        <v>10000</v>
      </c>
      <c r="O15" s="5">
        <v>10000</v>
      </c>
      <c r="P15" s="5">
        <v>10000</v>
      </c>
      <c r="Q15" s="5">
        <v>10000</v>
      </c>
      <c r="R15" s="5">
        <v>10000</v>
      </c>
      <c r="S15" s="5">
        <v>10000</v>
      </c>
      <c r="T15" s="5">
        <v>10000</v>
      </c>
      <c r="U15" s="104">
        <v>10000</v>
      </c>
      <c r="V15" s="104">
        <v>0</v>
      </c>
    </row>
    <row r="16" spans="2:22" ht="12.6" customHeight="1" thickBot="1" x14ac:dyDescent="0.35">
      <c r="B16" s="184" t="s">
        <v>29</v>
      </c>
      <c r="C16" s="184"/>
      <c r="D16" s="184"/>
      <c r="E16" s="107">
        <v>24</v>
      </c>
      <c r="F16" s="108" t="s">
        <v>17</v>
      </c>
      <c r="I16" s="4">
        <v>11</v>
      </c>
      <c r="J16" s="111">
        <v>10000</v>
      </c>
      <c r="K16" s="5">
        <v>10000</v>
      </c>
      <c r="L16" s="5">
        <v>10000</v>
      </c>
      <c r="M16" s="5">
        <v>10000</v>
      </c>
      <c r="N16" s="5">
        <v>10000</v>
      </c>
      <c r="O16" s="5">
        <v>10000</v>
      </c>
      <c r="P16" s="5">
        <v>10000</v>
      </c>
      <c r="Q16" s="5">
        <v>10000</v>
      </c>
      <c r="R16" s="5">
        <v>10000</v>
      </c>
      <c r="S16" s="5">
        <v>10000</v>
      </c>
      <c r="T16" s="5">
        <v>10000</v>
      </c>
      <c r="U16" s="104">
        <v>10000</v>
      </c>
      <c r="V16" s="104">
        <v>0</v>
      </c>
    </row>
    <row r="17" spans="2:22" ht="12.6" customHeight="1" thickBot="1" x14ac:dyDescent="0.35">
      <c r="B17" s="185" t="s">
        <v>30</v>
      </c>
      <c r="C17" s="185"/>
      <c r="D17" s="185"/>
      <c r="E17" s="107">
        <v>12</v>
      </c>
      <c r="F17" s="108" t="s">
        <v>31</v>
      </c>
      <c r="I17" s="4">
        <v>12</v>
      </c>
      <c r="J17" s="111">
        <v>10000</v>
      </c>
      <c r="K17" s="5">
        <v>10000</v>
      </c>
      <c r="L17" s="5">
        <v>10000</v>
      </c>
      <c r="M17" s="5">
        <v>10000</v>
      </c>
      <c r="N17" s="5">
        <v>10000</v>
      </c>
      <c r="O17" s="5">
        <v>10000</v>
      </c>
      <c r="P17" s="5">
        <v>10000</v>
      </c>
      <c r="Q17" s="5">
        <v>10000</v>
      </c>
      <c r="R17" s="5">
        <v>10000</v>
      </c>
      <c r="S17" s="5">
        <v>10000</v>
      </c>
      <c r="T17" s="5">
        <v>10000</v>
      </c>
      <c r="U17" s="104">
        <v>10000</v>
      </c>
      <c r="V17" s="104">
        <v>0</v>
      </c>
    </row>
    <row r="18" spans="2:22" ht="15" thickBot="1" x14ac:dyDescent="0.35">
      <c r="I18" s="4">
        <v>13</v>
      </c>
      <c r="J18" s="111">
        <v>10000</v>
      </c>
      <c r="K18" s="5">
        <v>10000</v>
      </c>
      <c r="L18" s="5">
        <v>10000</v>
      </c>
      <c r="M18" s="5">
        <v>10000</v>
      </c>
      <c r="N18" s="5">
        <v>10000</v>
      </c>
      <c r="O18" s="5">
        <v>10000</v>
      </c>
      <c r="P18" s="5">
        <v>10000</v>
      </c>
      <c r="Q18" s="5">
        <v>10000</v>
      </c>
      <c r="R18" s="5">
        <v>10000</v>
      </c>
      <c r="S18" s="5">
        <v>10000</v>
      </c>
      <c r="T18" s="5">
        <v>10000</v>
      </c>
      <c r="U18" s="104">
        <v>10000</v>
      </c>
      <c r="V18" s="104">
        <v>0</v>
      </c>
    </row>
    <row r="19" spans="2:22" ht="15" thickBot="1" x14ac:dyDescent="0.35">
      <c r="I19" s="4">
        <v>14</v>
      </c>
      <c r="J19" s="111">
        <v>10000</v>
      </c>
      <c r="K19" s="5">
        <v>10000</v>
      </c>
      <c r="L19" s="5">
        <v>10000</v>
      </c>
      <c r="M19" s="5">
        <v>10000</v>
      </c>
      <c r="N19" s="5">
        <v>10000</v>
      </c>
      <c r="O19" s="5">
        <v>10000</v>
      </c>
      <c r="P19" s="5">
        <v>10000</v>
      </c>
      <c r="Q19" s="5">
        <v>10000</v>
      </c>
      <c r="R19" s="5">
        <v>10000</v>
      </c>
      <c r="S19" s="5">
        <v>10000</v>
      </c>
      <c r="T19" s="5">
        <v>10000</v>
      </c>
      <c r="U19" s="104">
        <v>10000</v>
      </c>
      <c r="V19" s="104">
        <v>0</v>
      </c>
    </row>
    <row r="20" spans="2:22" ht="15" thickBot="1" x14ac:dyDescent="0.35">
      <c r="I20" s="4">
        <v>15</v>
      </c>
      <c r="J20" s="111">
        <v>10000</v>
      </c>
      <c r="K20" s="5">
        <v>10000</v>
      </c>
      <c r="L20" s="5">
        <v>10000</v>
      </c>
      <c r="M20" s="5">
        <v>10000</v>
      </c>
      <c r="N20" s="5">
        <v>10000</v>
      </c>
      <c r="O20" s="5">
        <v>10000</v>
      </c>
      <c r="P20" s="5">
        <v>10000</v>
      </c>
      <c r="Q20" s="5">
        <v>10000</v>
      </c>
      <c r="R20" s="5">
        <v>10000</v>
      </c>
      <c r="S20" s="5">
        <v>10000</v>
      </c>
      <c r="T20" s="5">
        <v>10000</v>
      </c>
      <c r="U20" s="104">
        <v>10000</v>
      </c>
      <c r="V20" s="104">
        <v>0</v>
      </c>
    </row>
    <row r="21" spans="2:22" ht="15" thickBot="1" x14ac:dyDescent="0.35">
      <c r="I21" s="4">
        <v>16</v>
      </c>
      <c r="J21" s="111">
        <v>10000</v>
      </c>
      <c r="K21" s="5">
        <v>10000</v>
      </c>
      <c r="L21" s="5">
        <v>10000</v>
      </c>
      <c r="M21" s="5">
        <v>10000</v>
      </c>
      <c r="N21" s="5">
        <v>10000</v>
      </c>
      <c r="O21" s="5">
        <v>10000</v>
      </c>
      <c r="P21" s="5">
        <v>10000</v>
      </c>
      <c r="Q21" s="5">
        <v>10000</v>
      </c>
      <c r="R21" s="5">
        <v>10000</v>
      </c>
      <c r="S21" s="5">
        <v>10000</v>
      </c>
      <c r="T21" s="5">
        <v>10000</v>
      </c>
      <c r="U21" s="104">
        <v>10000</v>
      </c>
      <c r="V21" s="104">
        <v>0</v>
      </c>
    </row>
    <row r="22" spans="2:22" ht="15" thickBot="1" x14ac:dyDescent="0.35">
      <c r="I22" s="4">
        <v>17</v>
      </c>
      <c r="J22" s="111">
        <v>10000</v>
      </c>
      <c r="K22" s="5">
        <v>10000</v>
      </c>
      <c r="L22" s="5">
        <v>10000</v>
      </c>
      <c r="M22" s="5">
        <v>10000</v>
      </c>
      <c r="N22" s="5">
        <v>10000</v>
      </c>
      <c r="O22" s="5">
        <v>10000</v>
      </c>
      <c r="P22" s="5">
        <v>10000</v>
      </c>
      <c r="Q22" s="5">
        <v>10000</v>
      </c>
      <c r="R22" s="5">
        <v>10000</v>
      </c>
      <c r="S22" s="5">
        <v>10000</v>
      </c>
      <c r="T22" s="5">
        <v>10000</v>
      </c>
      <c r="U22" s="104">
        <v>10000</v>
      </c>
      <c r="V22" s="104">
        <v>0</v>
      </c>
    </row>
    <row r="23" spans="2:22" ht="15" thickBot="1" x14ac:dyDescent="0.35">
      <c r="I23" s="4">
        <v>18</v>
      </c>
      <c r="J23" s="111">
        <v>10000</v>
      </c>
      <c r="K23" s="5">
        <v>10000</v>
      </c>
      <c r="L23" s="5">
        <v>10000</v>
      </c>
      <c r="M23" s="5">
        <v>10000</v>
      </c>
      <c r="N23" s="5">
        <v>10000</v>
      </c>
      <c r="O23" s="5">
        <v>10000</v>
      </c>
      <c r="P23" s="5">
        <v>10000</v>
      </c>
      <c r="Q23" s="5">
        <v>10000</v>
      </c>
      <c r="R23" s="5">
        <v>10000</v>
      </c>
      <c r="S23" s="5">
        <v>10000</v>
      </c>
      <c r="T23" s="5">
        <v>10000</v>
      </c>
      <c r="U23" s="104">
        <v>10000</v>
      </c>
      <c r="V23" s="104">
        <v>0</v>
      </c>
    </row>
    <row r="24" spans="2:22" ht="15" thickBot="1" x14ac:dyDescent="0.35">
      <c r="I24" s="4">
        <v>19</v>
      </c>
      <c r="J24" s="111">
        <v>10000</v>
      </c>
      <c r="K24" s="5">
        <v>10000</v>
      </c>
      <c r="L24" s="5">
        <v>10000</v>
      </c>
      <c r="M24" s="5">
        <v>10000</v>
      </c>
      <c r="N24" s="5">
        <v>10000</v>
      </c>
      <c r="O24" s="5">
        <v>10000</v>
      </c>
      <c r="P24" s="5">
        <v>10000</v>
      </c>
      <c r="Q24" s="5">
        <v>10000</v>
      </c>
      <c r="R24" s="5">
        <v>10000</v>
      </c>
      <c r="S24" s="5">
        <v>10000</v>
      </c>
      <c r="T24" s="5">
        <v>10000</v>
      </c>
      <c r="U24" s="104">
        <v>10000</v>
      </c>
      <c r="V24" s="104">
        <v>0</v>
      </c>
    </row>
    <row r="25" spans="2:22" ht="15" thickBot="1" x14ac:dyDescent="0.35">
      <c r="I25" s="4">
        <v>20</v>
      </c>
      <c r="J25" s="111">
        <v>10000</v>
      </c>
      <c r="K25" s="5">
        <v>10000</v>
      </c>
      <c r="L25" s="5">
        <v>10000</v>
      </c>
      <c r="M25" s="5">
        <v>10000</v>
      </c>
      <c r="N25" s="5">
        <v>10000</v>
      </c>
      <c r="O25" s="5">
        <v>10000</v>
      </c>
      <c r="P25" s="5">
        <v>10000</v>
      </c>
      <c r="Q25" s="5">
        <v>10000</v>
      </c>
      <c r="R25" s="5">
        <v>10000</v>
      </c>
      <c r="S25" s="5">
        <v>10000</v>
      </c>
      <c r="T25" s="5">
        <v>10000</v>
      </c>
      <c r="U25" s="104">
        <v>10000</v>
      </c>
      <c r="V25" s="104">
        <v>0</v>
      </c>
    </row>
    <row r="26" spans="2:22" ht="15" thickBot="1" x14ac:dyDescent="0.35">
      <c r="I26" s="4">
        <v>21</v>
      </c>
      <c r="J26" s="111">
        <v>10000</v>
      </c>
      <c r="K26" s="5">
        <v>10000</v>
      </c>
      <c r="L26" s="5">
        <v>10000</v>
      </c>
      <c r="M26" s="5">
        <v>10000</v>
      </c>
      <c r="N26" s="5">
        <v>10000</v>
      </c>
      <c r="O26" s="5">
        <v>10000</v>
      </c>
      <c r="P26" s="5">
        <v>10000</v>
      </c>
      <c r="Q26" s="5">
        <v>10000</v>
      </c>
      <c r="R26" s="5">
        <v>10000</v>
      </c>
      <c r="S26" s="5">
        <v>10000</v>
      </c>
      <c r="T26" s="5">
        <v>10000</v>
      </c>
      <c r="U26" s="104">
        <v>10000</v>
      </c>
      <c r="V26" s="104">
        <v>0</v>
      </c>
    </row>
    <row r="27" spans="2:22" ht="15" thickBot="1" x14ac:dyDescent="0.35">
      <c r="I27" s="4">
        <v>22</v>
      </c>
      <c r="J27" s="111">
        <v>10000</v>
      </c>
      <c r="K27" s="5">
        <v>10000</v>
      </c>
      <c r="L27" s="5">
        <v>10000</v>
      </c>
      <c r="M27" s="5">
        <v>10000</v>
      </c>
      <c r="N27" s="5">
        <v>10000</v>
      </c>
      <c r="O27" s="5">
        <v>10000</v>
      </c>
      <c r="P27" s="5">
        <v>10000</v>
      </c>
      <c r="Q27" s="5">
        <v>10000</v>
      </c>
      <c r="R27" s="5">
        <v>10000</v>
      </c>
      <c r="S27" s="5">
        <v>10000</v>
      </c>
      <c r="T27" s="5">
        <v>10000</v>
      </c>
      <c r="U27" s="104">
        <v>10000</v>
      </c>
      <c r="V27" s="104">
        <v>0</v>
      </c>
    </row>
    <row r="28" spans="2:22" ht="15" thickBot="1" x14ac:dyDescent="0.35">
      <c r="I28" s="4">
        <v>23</v>
      </c>
      <c r="J28" s="111">
        <v>10000</v>
      </c>
      <c r="K28" s="5">
        <v>10000</v>
      </c>
      <c r="L28" s="5">
        <v>10000</v>
      </c>
      <c r="M28" s="5">
        <v>10000</v>
      </c>
      <c r="N28" s="5">
        <v>10000</v>
      </c>
      <c r="O28" s="5">
        <v>10000</v>
      </c>
      <c r="P28" s="5">
        <v>10000</v>
      </c>
      <c r="Q28" s="5">
        <v>10000</v>
      </c>
      <c r="R28" s="5">
        <v>10000</v>
      </c>
      <c r="S28" s="5">
        <v>10000</v>
      </c>
      <c r="T28" s="5">
        <v>10000</v>
      </c>
      <c r="U28" s="104">
        <v>10000</v>
      </c>
      <c r="V28" s="104">
        <v>0</v>
      </c>
    </row>
    <row r="29" spans="2:22" ht="15" thickBot="1" x14ac:dyDescent="0.35">
      <c r="I29" s="105">
        <v>24</v>
      </c>
      <c r="J29" s="112">
        <v>10000</v>
      </c>
      <c r="K29" s="106">
        <v>10000</v>
      </c>
      <c r="L29" s="106">
        <v>10000</v>
      </c>
      <c r="M29" s="106">
        <v>10000</v>
      </c>
      <c r="N29" s="106">
        <v>10000</v>
      </c>
      <c r="O29" s="106">
        <v>10000</v>
      </c>
      <c r="P29" s="106">
        <v>10000</v>
      </c>
      <c r="Q29" s="106">
        <v>10000</v>
      </c>
      <c r="R29" s="106">
        <v>10000</v>
      </c>
      <c r="S29" s="106">
        <v>10000</v>
      </c>
      <c r="T29" s="106">
        <v>10000</v>
      </c>
      <c r="U29" s="104">
        <v>10000</v>
      </c>
      <c r="V29" s="104">
        <v>0</v>
      </c>
    </row>
    <row r="30" spans="2:22" ht="15" thickBot="1" x14ac:dyDescent="0.35"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2:22" ht="15" thickBot="1" x14ac:dyDescent="0.35">
      <c r="G31" s="168" t="s">
        <v>32</v>
      </c>
      <c r="H31" s="169" t="s">
        <v>33</v>
      </c>
      <c r="I31" s="170"/>
      <c r="J31" s="15">
        <f t="shared" ref="J31:U31" si="0">SUM(J5:J29)</f>
        <v>240000</v>
      </c>
      <c r="K31" s="16">
        <f t="shared" si="0"/>
        <v>240000</v>
      </c>
      <c r="L31" s="16">
        <f t="shared" si="0"/>
        <v>240000</v>
      </c>
      <c r="M31" s="16">
        <f t="shared" si="0"/>
        <v>240000</v>
      </c>
      <c r="N31" s="16">
        <f t="shared" si="0"/>
        <v>240000</v>
      </c>
      <c r="O31" s="16">
        <f t="shared" si="0"/>
        <v>240000</v>
      </c>
      <c r="P31" s="16">
        <f t="shared" si="0"/>
        <v>240000</v>
      </c>
      <c r="Q31" s="16">
        <f t="shared" si="0"/>
        <v>240000</v>
      </c>
      <c r="R31" s="16">
        <f t="shared" si="0"/>
        <v>240000</v>
      </c>
      <c r="S31" s="16">
        <f t="shared" si="0"/>
        <v>240000</v>
      </c>
      <c r="T31" s="16">
        <f t="shared" si="0"/>
        <v>240000</v>
      </c>
      <c r="U31" s="16">
        <f t="shared" si="0"/>
        <v>240000</v>
      </c>
    </row>
    <row r="32" spans="2:22" ht="15" thickBot="1" x14ac:dyDescent="0.35">
      <c r="G32" s="168"/>
      <c r="H32" s="171" t="s">
        <v>34</v>
      </c>
      <c r="I32" s="172"/>
      <c r="J32" s="17">
        <f t="shared" ref="J32:U32" si="1">J31*2</f>
        <v>480000</v>
      </c>
      <c r="K32" s="18">
        <f t="shared" si="1"/>
        <v>480000</v>
      </c>
      <c r="L32" s="18">
        <f t="shared" si="1"/>
        <v>480000</v>
      </c>
      <c r="M32" s="18">
        <f t="shared" si="1"/>
        <v>480000</v>
      </c>
      <c r="N32" s="18">
        <f t="shared" si="1"/>
        <v>480000</v>
      </c>
      <c r="O32" s="18">
        <f t="shared" si="1"/>
        <v>480000</v>
      </c>
      <c r="P32" s="18">
        <f t="shared" si="1"/>
        <v>480000</v>
      </c>
      <c r="Q32" s="18">
        <f t="shared" si="1"/>
        <v>480000</v>
      </c>
      <c r="R32" s="18">
        <f t="shared" si="1"/>
        <v>480000</v>
      </c>
      <c r="S32" s="18">
        <f t="shared" si="1"/>
        <v>480000</v>
      </c>
      <c r="T32" s="18">
        <f t="shared" si="1"/>
        <v>480000</v>
      </c>
      <c r="U32" s="19">
        <f t="shared" si="1"/>
        <v>480000</v>
      </c>
    </row>
    <row r="33" spans="7:22" ht="15" thickBot="1" x14ac:dyDescent="0.35">
      <c r="G33" s="168"/>
      <c r="H33" s="169" t="s">
        <v>35</v>
      </c>
      <c r="I33" s="170"/>
      <c r="J33" s="173">
        <f>SUM(J31,K31,L31)</f>
        <v>720000</v>
      </c>
      <c r="K33" s="173"/>
      <c r="L33" s="173"/>
      <c r="M33" s="179">
        <f>SUM(M31,N31,O31)</f>
        <v>720000</v>
      </c>
      <c r="N33" s="179"/>
      <c r="O33" s="179"/>
      <c r="P33" s="179">
        <f>SUM(P31,Q31,R31)</f>
        <v>720000</v>
      </c>
      <c r="Q33" s="179"/>
      <c r="R33" s="179"/>
      <c r="S33" s="179">
        <f>SUM(S31,T31,U31)</f>
        <v>720000</v>
      </c>
      <c r="T33" s="179"/>
      <c r="U33" s="179"/>
    </row>
    <row r="34" spans="7:22" ht="15" thickBot="1" x14ac:dyDescent="0.35">
      <c r="G34" s="168"/>
      <c r="H34" s="171" t="s">
        <v>36</v>
      </c>
      <c r="I34" s="178"/>
      <c r="J34" s="180">
        <f>SUM(J32,K32,L32)</f>
        <v>1440000</v>
      </c>
      <c r="K34" s="180"/>
      <c r="L34" s="180"/>
      <c r="M34" s="165">
        <f>SUM(M32,N32,O32)</f>
        <v>1440000</v>
      </c>
      <c r="N34" s="165"/>
      <c r="O34" s="165"/>
      <c r="P34" s="165">
        <f>SUM(P32,Q32,R32)</f>
        <v>1440000</v>
      </c>
      <c r="Q34" s="165"/>
      <c r="R34" s="165"/>
      <c r="S34" s="165">
        <f>SUM(S32,T32,U32)</f>
        <v>1440000</v>
      </c>
      <c r="T34" s="165"/>
      <c r="U34" s="165"/>
    </row>
    <row r="35" spans="7:22" ht="15" thickBot="1" x14ac:dyDescent="0.35">
      <c r="G35" s="168"/>
      <c r="H35" s="169" t="s">
        <v>37</v>
      </c>
      <c r="I35" s="174"/>
      <c r="J35" s="175">
        <f>SUM(J33,M33,P33,S33)</f>
        <v>2880000</v>
      </c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2"/>
    </row>
    <row r="36" spans="7:22" ht="15" thickBot="1" x14ac:dyDescent="0.35">
      <c r="G36" s="168"/>
      <c r="H36" s="171" t="s">
        <v>38</v>
      </c>
      <c r="I36" s="176"/>
      <c r="J36" s="177">
        <f>SUM(J34,M34,P34,S34)</f>
        <v>5760000</v>
      </c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2"/>
    </row>
    <row r="38" spans="7:22" ht="15" thickBot="1" x14ac:dyDescent="0.35">
      <c r="G38" s="150" t="s">
        <v>39</v>
      </c>
      <c r="H38" s="163" t="s">
        <v>40</v>
      </c>
      <c r="I38" s="164"/>
      <c r="J38" s="15">
        <v>100000</v>
      </c>
      <c r="K38" s="15">
        <v>100000</v>
      </c>
      <c r="L38" s="15">
        <v>100000</v>
      </c>
      <c r="M38" s="15">
        <v>100000</v>
      </c>
      <c r="N38" s="15">
        <v>100000</v>
      </c>
      <c r="O38" s="15">
        <v>100000</v>
      </c>
      <c r="P38" s="15">
        <v>100000</v>
      </c>
      <c r="Q38" s="15">
        <v>100000</v>
      </c>
      <c r="R38" s="15">
        <v>100000</v>
      </c>
      <c r="S38" s="15">
        <v>100000</v>
      </c>
      <c r="T38" s="15">
        <v>100000</v>
      </c>
      <c r="U38" s="20">
        <v>100000</v>
      </c>
    </row>
    <row r="39" spans="7:22" ht="15" thickBot="1" x14ac:dyDescent="0.35">
      <c r="G39" s="150"/>
      <c r="H39" s="161" t="s">
        <v>41</v>
      </c>
      <c r="I39" s="162"/>
      <c r="J39" s="21">
        <v>200000</v>
      </c>
      <c r="K39" s="21">
        <v>200000</v>
      </c>
      <c r="L39" s="21">
        <v>200000</v>
      </c>
      <c r="M39" s="21">
        <v>200000</v>
      </c>
      <c r="N39" s="21">
        <v>200000</v>
      </c>
      <c r="O39" s="21">
        <v>200000</v>
      </c>
      <c r="P39" s="21">
        <v>200000</v>
      </c>
      <c r="Q39" s="21">
        <v>200000</v>
      </c>
      <c r="R39" s="21">
        <v>200000</v>
      </c>
      <c r="S39" s="21">
        <v>200000</v>
      </c>
      <c r="T39" s="21">
        <v>200000</v>
      </c>
      <c r="U39" s="22">
        <v>200000</v>
      </c>
    </row>
    <row r="40" spans="7:22" ht="15" thickBot="1" x14ac:dyDescent="0.35">
      <c r="G40" s="150"/>
      <c r="H40" s="159" t="s">
        <v>42</v>
      </c>
      <c r="I40" s="160"/>
      <c r="J40" s="15">
        <v>50000</v>
      </c>
      <c r="K40" s="15">
        <v>50000</v>
      </c>
      <c r="L40" s="15">
        <v>50000</v>
      </c>
      <c r="M40" s="15">
        <v>50000</v>
      </c>
      <c r="N40" s="15">
        <v>50000</v>
      </c>
      <c r="O40" s="15">
        <v>50000</v>
      </c>
      <c r="P40" s="15">
        <v>50000</v>
      </c>
      <c r="Q40" s="15">
        <v>50000</v>
      </c>
      <c r="R40" s="15">
        <v>50000</v>
      </c>
      <c r="S40" s="15">
        <v>50000</v>
      </c>
      <c r="T40" s="15">
        <v>50000</v>
      </c>
      <c r="U40" s="20">
        <v>50000</v>
      </c>
    </row>
    <row r="41" spans="7:22" ht="15" thickBot="1" x14ac:dyDescent="0.35">
      <c r="G41" s="150"/>
      <c r="H41" s="157" t="s">
        <v>43</v>
      </c>
      <c r="I41" s="158"/>
      <c r="J41" s="23">
        <v>100000</v>
      </c>
      <c r="K41" s="23">
        <v>100000</v>
      </c>
      <c r="L41" s="23">
        <v>100000</v>
      </c>
      <c r="M41" s="23">
        <v>100000</v>
      </c>
      <c r="N41" s="23">
        <v>100000</v>
      </c>
      <c r="O41" s="23">
        <v>100000</v>
      </c>
      <c r="P41" s="23">
        <v>100000</v>
      </c>
      <c r="Q41" s="23">
        <v>100000</v>
      </c>
      <c r="R41" s="23">
        <v>100000</v>
      </c>
      <c r="S41" s="23">
        <v>100000</v>
      </c>
      <c r="T41" s="23">
        <v>100000</v>
      </c>
      <c r="U41" s="24">
        <v>100000</v>
      </c>
    </row>
    <row r="42" spans="7:22" ht="15" thickBot="1" x14ac:dyDescent="0.35">
      <c r="G42" s="150"/>
      <c r="H42" s="25"/>
      <c r="I42" s="25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7"/>
    </row>
    <row r="43" spans="7:22" ht="15" thickBot="1" x14ac:dyDescent="0.35">
      <c r="G43" s="150"/>
      <c r="H43" s="155" t="s">
        <v>44</v>
      </c>
      <c r="I43" s="156"/>
      <c r="J43" s="28">
        <f t="shared" ref="J43:U43" si="2">J38+J40</f>
        <v>150000</v>
      </c>
      <c r="K43" s="29">
        <f t="shared" si="2"/>
        <v>150000</v>
      </c>
      <c r="L43" s="29">
        <f t="shared" si="2"/>
        <v>150000</v>
      </c>
      <c r="M43" s="29">
        <f t="shared" si="2"/>
        <v>150000</v>
      </c>
      <c r="N43" s="29">
        <f t="shared" si="2"/>
        <v>150000</v>
      </c>
      <c r="O43" s="29">
        <f t="shared" si="2"/>
        <v>150000</v>
      </c>
      <c r="P43" s="29">
        <f t="shared" si="2"/>
        <v>150000</v>
      </c>
      <c r="Q43" s="29">
        <f t="shared" si="2"/>
        <v>150000</v>
      </c>
      <c r="R43" s="29">
        <f t="shared" si="2"/>
        <v>150000</v>
      </c>
      <c r="S43" s="29">
        <f t="shared" si="2"/>
        <v>150000</v>
      </c>
      <c r="T43" s="29">
        <f t="shared" si="2"/>
        <v>150000</v>
      </c>
      <c r="U43" s="30">
        <f t="shared" si="2"/>
        <v>150000</v>
      </c>
    </row>
    <row r="44" spans="7:22" ht="15" thickBot="1" x14ac:dyDescent="0.35">
      <c r="G44" s="150"/>
      <c r="H44" s="155" t="s">
        <v>45</v>
      </c>
      <c r="I44" s="156"/>
      <c r="J44" s="166">
        <f>J43+K43+L43</f>
        <v>450000</v>
      </c>
      <c r="K44" s="166"/>
      <c r="L44" s="166"/>
      <c r="M44" s="167">
        <f>M43+N43+O43</f>
        <v>450000</v>
      </c>
      <c r="N44" s="167"/>
      <c r="O44" s="167"/>
      <c r="P44" s="167">
        <f>P43+Q43+R43</f>
        <v>450000</v>
      </c>
      <c r="Q44" s="167"/>
      <c r="R44" s="167"/>
      <c r="S44" s="167">
        <f>S43+T43+U43</f>
        <v>450000</v>
      </c>
      <c r="T44" s="167"/>
      <c r="U44" s="167"/>
    </row>
    <row r="45" spans="7:22" ht="15" thickBot="1" x14ac:dyDescent="0.35">
      <c r="G45" s="150"/>
      <c r="H45" s="124" t="s">
        <v>46</v>
      </c>
      <c r="I45" s="125"/>
      <c r="J45" s="31">
        <f t="shared" ref="J45:U45" si="3">J41+J39</f>
        <v>300000</v>
      </c>
      <c r="K45" s="32">
        <f t="shared" si="3"/>
        <v>300000</v>
      </c>
      <c r="L45" s="32">
        <f t="shared" si="3"/>
        <v>300000</v>
      </c>
      <c r="M45" s="32">
        <f>M41+M39</f>
        <v>300000</v>
      </c>
      <c r="N45" s="32">
        <f t="shared" si="3"/>
        <v>300000</v>
      </c>
      <c r="O45" s="32">
        <f t="shared" si="3"/>
        <v>300000</v>
      </c>
      <c r="P45" s="32">
        <f t="shared" si="3"/>
        <v>300000</v>
      </c>
      <c r="Q45" s="32">
        <f t="shared" si="3"/>
        <v>300000</v>
      </c>
      <c r="R45" s="32">
        <f t="shared" si="3"/>
        <v>300000</v>
      </c>
      <c r="S45" s="32">
        <f t="shared" si="3"/>
        <v>300000</v>
      </c>
      <c r="T45" s="32">
        <f t="shared" si="3"/>
        <v>300000</v>
      </c>
      <c r="U45" s="33">
        <f t="shared" si="3"/>
        <v>300000</v>
      </c>
    </row>
    <row r="46" spans="7:22" ht="15" thickBot="1" x14ac:dyDescent="0.35">
      <c r="G46" s="150"/>
      <c r="H46" s="122" t="s">
        <v>47</v>
      </c>
      <c r="I46" s="123"/>
      <c r="J46" s="151">
        <f>J45+K45+L45</f>
        <v>900000</v>
      </c>
      <c r="K46" s="151"/>
      <c r="L46" s="151"/>
      <c r="M46" s="152">
        <f>M45+N45+O45</f>
        <v>900000</v>
      </c>
      <c r="N46" s="152"/>
      <c r="O46" s="152"/>
      <c r="P46" s="152">
        <f>P45+Q45+R45</f>
        <v>900000</v>
      </c>
      <c r="Q46" s="152"/>
      <c r="R46" s="152"/>
      <c r="S46" s="152">
        <f>S45+T45+U45</f>
        <v>900000</v>
      </c>
      <c r="T46" s="152"/>
      <c r="U46" s="152"/>
    </row>
    <row r="47" spans="7:22" ht="15" thickBot="1" x14ac:dyDescent="0.35">
      <c r="G47" s="150"/>
      <c r="H47" s="120" t="s">
        <v>48</v>
      </c>
      <c r="I47" s="121"/>
      <c r="J47" s="153">
        <f>SUM(J44,M44,P44,S44)</f>
        <v>1800000</v>
      </c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</row>
    <row r="48" spans="7:22" ht="15" thickBot="1" x14ac:dyDescent="0.35">
      <c r="G48" s="150"/>
      <c r="H48" s="118" t="s">
        <v>49</v>
      </c>
      <c r="I48" s="119"/>
      <c r="J48" s="154">
        <f>SUM(J46,M46,P46,S46)</f>
        <v>3600000</v>
      </c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</row>
    <row r="49" spans="7:21" ht="15" thickBot="1" x14ac:dyDescent="0.35">
      <c r="H49" s="34"/>
      <c r="I49" s="34"/>
    </row>
    <row r="50" spans="7:21" x14ac:dyDescent="0.3">
      <c r="G50" s="128" t="s">
        <v>50</v>
      </c>
      <c r="H50" s="148" t="s">
        <v>51</v>
      </c>
      <c r="I50" s="149"/>
      <c r="J50" s="35">
        <f t="shared" ref="J50:U50" si="4">J31-J43</f>
        <v>90000</v>
      </c>
      <c r="K50" s="36">
        <f t="shared" si="4"/>
        <v>90000</v>
      </c>
      <c r="L50" s="36">
        <f t="shared" si="4"/>
        <v>90000</v>
      </c>
      <c r="M50" s="36">
        <f t="shared" si="4"/>
        <v>90000</v>
      </c>
      <c r="N50" s="36">
        <f t="shared" si="4"/>
        <v>90000</v>
      </c>
      <c r="O50" s="36">
        <f t="shared" si="4"/>
        <v>90000</v>
      </c>
      <c r="P50" s="36">
        <f t="shared" si="4"/>
        <v>90000</v>
      </c>
      <c r="Q50" s="36">
        <f t="shared" si="4"/>
        <v>90000</v>
      </c>
      <c r="R50" s="36">
        <f t="shared" si="4"/>
        <v>90000</v>
      </c>
      <c r="S50" s="36">
        <f t="shared" si="4"/>
        <v>90000</v>
      </c>
      <c r="T50" s="36">
        <f t="shared" si="4"/>
        <v>90000</v>
      </c>
      <c r="U50" s="37">
        <f t="shared" si="4"/>
        <v>90000</v>
      </c>
    </row>
    <row r="51" spans="7:21" ht="15" thickBot="1" x14ac:dyDescent="0.35">
      <c r="G51" s="129"/>
      <c r="H51" s="146" t="s">
        <v>52</v>
      </c>
      <c r="I51" s="147"/>
      <c r="J51" s="126">
        <f>SUM(J50,K50,L50)</f>
        <v>270000</v>
      </c>
      <c r="K51" s="126"/>
      <c r="L51" s="126"/>
      <c r="M51" s="127">
        <f>SUM(M50,N50,O50)</f>
        <v>270000</v>
      </c>
      <c r="N51" s="127"/>
      <c r="O51" s="127"/>
      <c r="P51" s="127">
        <f>SUM(P50,Q50,R50)</f>
        <v>270000</v>
      </c>
      <c r="Q51" s="127"/>
      <c r="R51" s="127"/>
      <c r="S51" s="127">
        <f>SUM(S50,T50,U50)</f>
        <v>270000</v>
      </c>
      <c r="T51" s="127"/>
      <c r="U51" s="127"/>
    </row>
    <row r="52" spans="7:21" x14ac:dyDescent="0.3">
      <c r="G52" s="129"/>
      <c r="H52" s="144" t="s">
        <v>53</v>
      </c>
      <c r="I52" s="145"/>
      <c r="J52" s="38">
        <f>J32-J45</f>
        <v>180000</v>
      </c>
      <c r="K52" s="36">
        <f t="shared" ref="K52:U52" si="5">K32-K45</f>
        <v>180000</v>
      </c>
      <c r="L52" s="36">
        <f t="shared" si="5"/>
        <v>180000</v>
      </c>
      <c r="M52" s="36">
        <f>M32-M45</f>
        <v>180000</v>
      </c>
      <c r="N52" s="36">
        <f t="shared" si="5"/>
        <v>180000</v>
      </c>
      <c r="O52" s="36">
        <f t="shared" si="5"/>
        <v>180000</v>
      </c>
      <c r="P52" s="36">
        <f t="shared" si="5"/>
        <v>180000</v>
      </c>
      <c r="Q52" s="36">
        <f t="shared" si="5"/>
        <v>180000</v>
      </c>
      <c r="R52" s="36">
        <f t="shared" si="5"/>
        <v>180000</v>
      </c>
      <c r="S52" s="36">
        <f>S32-S45</f>
        <v>180000</v>
      </c>
      <c r="T52" s="36">
        <f t="shared" si="5"/>
        <v>180000</v>
      </c>
      <c r="U52" s="37">
        <f t="shared" si="5"/>
        <v>180000</v>
      </c>
    </row>
    <row r="53" spans="7:21" ht="15" thickBot="1" x14ac:dyDescent="0.35">
      <c r="G53" s="129"/>
      <c r="H53" s="142" t="s">
        <v>54</v>
      </c>
      <c r="I53" s="143"/>
      <c r="J53" s="117">
        <f>SUM(J52,K52,L52)</f>
        <v>540000</v>
      </c>
      <c r="K53" s="117"/>
      <c r="L53" s="117"/>
      <c r="M53" s="117">
        <f>SUM(M52,N52,O52)</f>
        <v>540000</v>
      </c>
      <c r="N53" s="117"/>
      <c r="O53" s="117"/>
      <c r="P53" s="117">
        <f>SUM(P52,Q52,R52)</f>
        <v>540000</v>
      </c>
      <c r="Q53" s="117"/>
      <c r="R53" s="117"/>
      <c r="S53" s="117">
        <f>SUM(S52,T52,U52)</f>
        <v>540000</v>
      </c>
      <c r="T53" s="117"/>
      <c r="U53" s="117"/>
    </row>
    <row r="54" spans="7:21" x14ac:dyDescent="0.3">
      <c r="G54" s="130"/>
      <c r="H54" s="132" t="s">
        <v>85</v>
      </c>
      <c r="I54" s="133"/>
      <c r="J54" s="136">
        <f>SUM(J51,M51,P51,S51)</f>
        <v>1080000</v>
      </c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8"/>
    </row>
    <row r="55" spans="7:21" ht="15" thickBot="1" x14ac:dyDescent="0.35">
      <c r="G55" s="131"/>
      <c r="H55" s="134" t="s">
        <v>83</v>
      </c>
      <c r="I55" s="135"/>
      <c r="J55" s="139">
        <f>SUM(J53,M53,P53,S53)</f>
        <v>2160000</v>
      </c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1"/>
    </row>
    <row r="56" spans="7:21" x14ac:dyDescent="0.3">
      <c r="U56" s="109"/>
    </row>
  </sheetData>
  <mergeCells count="79">
    <mergeCell ref="G2:K2"/>
    <mergeCell ref="D4:E4"/>
    <mergeCell ref="D5:E5"/>
    <mergeCell ref="B8:C8"/>
    <mergeCell ref="B9:C9"/>
    <mergeCell ref="D9:E9"/>
    <mergeCell ref="J4:J5"/>
    <mergeCell ref="K4:K5"/>
    <mergeCell ref="B10:C10"/>
    <mergeCell ref="B12:C12"/>
    <mergeCell ref="B13:C13"/>
    <mergeCell ref="B16:D16"/>
    <mergeCell ref="B17:D17"/>
    <mergeCell ref="G31:G36"/>
    <mergeCell ref="H31:I31"/>
    <mergeCell ref="H32:I32"/>
    <mergeCell ref="H33:I33"/>
    <mergeCell ref="J33:L33"/>
    <mergeCell ref="H35:I35"/>
    <mergeCell ref="J35:U35"/>
    <mergeCell ref="H36:I36"/>
    <mergeCell ref="J36:U36"/>
    <mergeCell ref="H34:I34"/>
    <mergeCell ref="M33:O33"/>
    <mergeCell ref="P33:R33"/>
    <mergeCell ref="S33:U33"/>
    <mergeCell ref="J34:L34"/>
    <mergeCell ref="M34:O34"/>
    <mergeCell ref="P34:R34"/>
    <mergeCell ref="S34:U34"/>
    <mergeCell ref="J44:L44"/>
    <mergeCell ref="M44:O44"/>
    <mergeCell ref="P44:R44"/>
    <mergeCell ref="S44:U44"/>
    <mergeCell ref="G38:G48"/>
    <mergeCell ref="J46:L46"/>
    <mergeCell ref="M46:O46"/>
    <mergeCell ref="P46:R46"/>
    <mergeCell ref="S46:U46"/>
    <mergeCell ref="J47:U47"/>
    <mergeCell ref="J48:U48"/>
    <mergeCell ref="H44:I44"/>
    <mergeCell ref="H43:I43"/>
    <mergeCell ref="H41:I41"/>
    <mergeCell ref="H40:I40"/>
    <mergeCell ref="H39:I39"/>
    <mergeCell ref="H38:I38"/>
    <mergeCell ref="G50:G55"/>
    <mergeCell ref="H54:I54"/>
    <mergeCell ref="H55:I55"/>
    <mergeCell ref="J54:U54"/>
    <mergeCell ref="J55:U55"/>
    <mergeCell ref="H53:I53"/>
    <mergeCell ref="H52:I52"/>
    <mergeCell ref="H51:I51"/>
    <mergeCell ref="H50:I50"/>
    <mergeCell ref="J53:L53"/>
    <mergeCell ref="M53:O53"/>
    <mergeCell ref="P53:R53"/>
    <mergeCell ref="S53:U53"/>
    <mergeCell ref="H48:I48"/>
    <mergeCell ref="H47:I47"/>
    <mergeCell ref="H46:I46"/>
    <mergeCell ref="H45:I45"/>
    <mergeCell ref="J51:L51"/>
    <mergeCell ref="M51:O51"/>
    <mergeCell ref="P51:R51"/>
    <mergeCell ref="S51:U51"/>
    <mergeCell ref="L4:L5"/>
    <mergeCell ref="M4:M5"/>
    <mergeCell ref="N4:N5"/>
    <mergeCell ref="O4:O5"/>
    <mergeCell ref="P4:P5"/>
    <mergeCell ref="V4:V5"/>
    <mergeCell ref="Q4:Q5"/>
    <mergeCell ref="R4:R5"/>
    <mergeCell ref="S4:S5"/>
    <mergeCell ref="T4:T5"/>
    <mergeCell ref="U4:U5"/>
  </mergeCells>
  <pageMargins left="0.75" right="0.75" top="1" bottom="1" header="0.511811023622047" footer="0.511811023622047"/>
  <pageSetup paperSize="9" orientation="portrait" horizontalDpi="300" verticalDpi="300" r:id="rId1"/>
  <ignoredErrors>
    <ignoredError sqref="M45 P45 S45 J52 M52 P52 S5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"/>
  <sheetViews>
    <sheetView showGridLines="0" tabSelected="1" topLeftCell="A16" zoomScaleNormal="100" workbookViewId="0">
      <pane xSplit="1" topLeftCell="B1" activePane="topRight" state="frozen"/>
      <selection activeCell="L68" sqref="L68"/>
      <selection pane="topRight" activeCell="H41" sqref="H41"/>
    </sheetView>
  </sheetViews>
  <sheetFormatPr baseColWidth="10" defaultColWidth="8.6640625" defaultRowHeight="14.4" x14ac:dyDescent="0.3"/>
  <cols>
    <col min="1" max="1" width="53.77734375" style="39" customWidth="1"/>
    <col min="2" max="2" width="14.109375" style="39" customWidth="1"/>
    <col min="3" max="3" width="13.109375" style="39" customWidth="1"/>
    <col min="4" max="4" width="15.44140625" style="39" customWidth="1"/>
    <col min="5" max="5" width="17.88671875" style="39" customWidth="1"/>
    <col min="6" max="6" width="12.6640625" style="39" customWidth="1"/>
    <col min="7" max="7" width="14.109375" style="39" customWidth="1"/>
    <col min="8" max="8" width="12" style="39" customWidth="1"/>
    <col min="9" max="9" width="15.88671875" style="39" customWidth="1"/>
    <col min="10" max="10" width="12.109375" style="39" customWidth="1"/>
    <col min="11" max="11" width="12.6640625" style="39" customWidth="1"/>
    <col min="12" max="12" width="12.44140625" style="39" customWidth="1"/>
    <col min="13" max="13" width="13.5546875" style="39" customWidth="1"/>
    <col min="14" max="14" width="14" style="39" customWidth="1"/>
  </cols>
  <sheetData>
    <row r="1" spans="1:14" ht="27.75" customHeight="1" x14ac:dyDescent="0.3">
      <c r="A1" s="197" t="s">
        <v>84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</row>
    <row r="2" spans="1:14" ht="15" customHeight="1" x14ac:dyDescent="0.3">
      <c r="A2" s="40" t="s">
        <v>55</v>
      </c>
    </row>
    <row r="4" spans="1:14" ht="19.5" customHeight="1" thickBot="1" x14ac:dyDescent="0.35">
      <c r="A4" s="41" t="s">
        <v>56</v>
      </c>
      <c r="B4" s="41"/>
      <c r="C4" s="41"/>
      <c r="D4" s="41"/>
      <c r="E4" s="41"/>
      <c r="F4" s="41"/>
      <c r="G4" s="41"/>
      <c r="H4" s="82"/>
      <c r="I4" s="41"/>
      <c r="J4" s="41"/>
      <c r="K4" s="41"/>
      <c r="L4" s="41"/>
      <c r="M4" s="41"/>
      <c r="N4" s="41"/>
    </row>
    <row r="5" spans="1:14" ht="15" customHeight="1" x14ac:dyDescent="0.3">
      <c r="A5" s="42" t="s">
        <v>57</v>
      </c>
      <c r="B5" s="43">
        <v>2</v>
      </c>
      <c r="D5" s="83" t="s">
        <v>58</v>
      </c>
      <c r="E5" s="84">
        <f>B7*B8</f>
        <v>24</v>
      </c>
    </row>
    <row r="6" spans="1:14" ht="15" customHeight="1" x14ac:dyDescent="0.3">
      <c r="A6" s="42" t="s">
        <v>59</v>
      </c>
      <c r="B6" s="44">
        <v>10000</v>
      </c>
      <c r="D6" s="85" t="s">
        <v>60</v>
      </c>
      <c r="E6" s="86">
        <f>B9+B10</f>
        <v>150000</v>
      </c>
    </row>
    <row r="7" spans="1:14" ht="15" customHeight="1" x14ac:dyDescent="0.3">
      <c r="A7" s="42" t="s">
        <v>61</v>
      </c>
      <c r="B7" s="43">
        <v>6</v>
      </c>
      <c r="D7" s="85" t="s">
        <v>62</v>
      </c>
      <c r="E7" s="86">
        <f>B6*E5</f>
        <v>240000</v>
      </c>
    </row>
    <row r="8" spans="1:14" ht="15" customHeight="1" x14ac:dyDescent="0.3">
      <c r="A8" s="42" t="s">
        <v>63</v>
      </c>
      <c r="B8" s="43">
        <v>4</v>
      </c>
      <c r="D8" s="85" t="s">
        <v>64</v>
      </c>
      <c r="E8" s="87">
        <f>E7*B5</f>
        <v>480000</v>
      </c>
      <c r="F8" s="63"/>
    </row>
    <row r="9" spans="1:14" ht="15" customHeight="1" x14ac:dyDescent="0.3">
      <c r="A9" s="42" t="s">
        <v>65</v>
      </c>
      <c r="B9" s="44">
        <v>100000</v>
      </c>
      <c r="D9" s="85" t="s">
        <v>66</v>
      </c>
      <c r="E9" s="87">
        <f>E6*B5</f>
        <v>300000</v>
      </c>
      <c r="F9" s="63"/>
    </row>
    <row r="10" spans="1:14" ht="15" customHeight="1" thickBot="1" x14ac:dyDescent="0.35">
      <c r="A10" s="42" t="s">
        <v>67</v>
      </c>
      <c r="B10" s="44">
        <v>50000</v>
      </c>
      <c r="D10" s="88" t="s">
        <v>68</v>
      </c>
      <c r="E10" s="89">
        <f>E8-E9</f>
        <v>180000</v>
      </c>
      <c r="F10" s="63"/>
    </row>
    <row r="11" spans="1:14" x14ac:dyDescent="0.3">
      <c r="E11" s="63"/>
      <c r="F11" s="63"/>
    </row>
    <row r="12" spans="1:14" ht="19.5" customHeight="1" x14ac:dyDescent="0.3">
      <c r="A12" s="198" t="s">
        <v>69</v>
      </c>
      <c r="B12" s="198"/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</row>
    <row r="13" spans="1:14" ht="15" customHeight="1" x14ac:dyDescent="0.3">
      <c r="A13" s="45" t="s">
        <v>3</v>
      </c>
      <c r="B13" s="46" t="s">
        <v>4</v>
      </c>
      <c r="C13" s="46" t="s">
        <v>5</v>
      </c>
      <c r="D13" s="46" t="s">
        <v>6</v>
      </c>
      <c r="E13" s="46" t="s">
        <v>7</v>
      </c>
      <c r="F13" s="46" t="s">
        <v>8</v>
      </c>
      <c r="G13" s="46" t="s">
        <v>9</v>
      </c>
      <c r="H13" s="46" t="s">
        <v>10</v>
      </c>
      <c r="I13" s="46" t="s">
        <v>11</v>
      </c>
      <c r="J13" s="46" t="s">
        <v>12</v>
      </c>
      <c r="K13" s="46" t="s">
        <v>13</v>
      </c>
      <c r="L13" s="46" t="s">
        <v>14</v>
      </c>
      <c r="M13" s="46" t="s">
        <v>15</v>
      </c>
      <c r="N13" s="46" t="s">
        <v>70</v>
      </c>
    </row>
    <row r="14" spans="1:14" ht="15" customHeight="1" x14ac:dyDescent="0.3">
      <c r="A14" s="42" t="s">
        <v>71</v>
      </c>
      <c r="B14" s="47">
        <v>1</v>
      </c>
      <c r="C14" s="47">
        <v>1</v>
      </c>
      <c r="D14" s="47">
        <v>1</v>
      </c>
      <c r="E14" s="47">
        <v>1</v>
      </c>
      <c r="F14" s="47">
        <v>1</v>
      </c>
      <c r="G14" s="47">
        <v>1</v>
      </c>
      <c r="H14" s="47">
        <v>1</v>
      </c>
      <c r="I14" s="47">
        <v>1</v>
      </c>
      <c r="J14" s="47">
        <v>1</v>
      </c>
      <c r="K14" s="47">
        <v>1</v>
      </c>
      <c r="L14" s="47">
        <v>1</v>
      </c>
      <c r="M14" s="47">
        <v>1</v>
      </c>
      <c r="N14" s="48">
        <f>AVERAGE(B14:M14)</f>
        <v>1</v>
      </c>
    </row>
    <row r="15" spans="1:14" ht="15" customHeight="1" x14ac:dyDescent="0.3">
      <c r="A15" s="49" t="s">
        <v>72</v>
      </c>
      <c r="B15" s="50">
        <f t="shared" ref="B15:M15" si="0">$E$8*B14</f>
        <v>480000</v>
      </c>
      <c r="C15" s="50">
        <f t="shared" si="0"/>
        <v>480000</v>
      </c>
      <c r="D15" s="50">
        <f t="shared" si="0"/>
        <v>480000</v>
      </c>
      <c r="E15" s="50">
        <f t="shared" si="0"/>
        <v>480000</v>
      </c>
      <c r="F15" s="50">
        <f t="shared" si="0"/>
        <v>480000</v>
      </c>
      <c r="G15" s="50">
        <f t="shared" si="0"/>
        <v>480000</v>
      </c>
      <c r="H15" s="50">
        <f t="shared" si="0"/>
        <v>480000</v>
      </c>
      <c r="I15" s="50">
        <f t="shared" si="0"/>
        <v>480000</v>
      </c>
      <c r="J15" s="50">
        <f t="shared" si="0"/>
        <v>480000</v>
      </c>
      <c r="K15" s="50">
        <f t="shared" si="0"/>
        <v>480000</v>
      </c>
      <c r="L15" s="50">
        <f t="shared" si="0"/>
        <v>480000</v>
      </c>
      <c r="M15" s="50">
        <f t="shared" si="0"/>
        <v>480000</v>
      </c>
      <c r="N15" s="51">
        <f>SUM(B15:M15)</f>
        <v>5760000</v>
      </c>
    </row>
    <row r="16" spans="1:14" ht="12.6" customHeight="1" x14ac:dyDescent="0.3">
      <c r="A16" s="49" t="s">
        <v>73</v>
      </c>
      <c r="B16" s="50">
        <f t="shared" ref="B16:M16" si="1">$E$9</f>
        <v>300000</v>
      </c>
      <c r="C16" s="50">
        <f t="shared" si="1"/>
        <v>300000</v>
      </c>
      <c r="D16" s="50">
        <f t="shared" si="1"/>
        <v>300000</v>
      </c>
      <c r="E16" s="50">
        <f t="shared" si="1"/>
        <v>300000</v>
      </c>
      <c r="F16" s="50">
        <f t="shared" si="1"/>
        <v>300000</v>
      </c>
      <c r="G16" s="50">
        <f t="shared" si="1"/>
        <v>300000</v>
      </c>
      <c r="H16" s="50">
        <f t="shared" si="1"/>
        <v>300000</v>
      </c>
      <c r="I16" s="50">
        <f t="shared" si="1"/>
        <v>300000</v>
      </c>
      <c r="J16" s="50">
        <f t="shared" si="1"/>
        <v>300000</v>
      </c>
      <c r="K16" s="50">
        <f t="shared" si="1"/>
        <v>300000</v>
      </c>
      <c r="L16" s="50">
        <f t="shared" si="1"/>
        <v>300000</v>
      </c>
      <c r="M16" s="50">
        <f t="shared" si="1"/>
        <v>300000</v>
      </c>
      <c r="N16" s="51">
        <f>SUM(B16:M16)</f>
        <v>3600000</v>
      </c>
    </row>
    <row r="17" spans="1:14" ht="12.6" customHeight="1" x14ac:dyDescent="0.3">
      <c r="A17" s="49" t="s">
        <v>74</v>
      </c>
      <c r="B17" s="50">
        <f>B15-B16</f>
        <v>180000</v>
      </c>
      <c r="C17" s="50">
        <f t="shared" ref="C17:M17" si="2">C15-C16</f>
        <v>180000</v>
      </c>
      <c r="D17" s="50">
        <f t="shared" si="2"/>
        <v>180000</v>
      </c>
      <c r="E17" s="50">
        <f t="shared" si="2"/>
        <v>180000</v>
      </c>
      <c r="F17" s="50">
        <f t="shared" si="2"/>
        <v>180000</v>
      </c>
      <c r="G17" s="50">
        <f t="shared" si="2"/>
        <v>180000</v>
      </c>
      <c r="H17" s="50">
        <f t="shared" si="2"/>
        <v>180000</v>
      </c>
      <c r="I17" s="50">
        <f t="shared" si="2"/>
        <v>180000</v>
      </c>
      <c r="J17" s="50">
        <f t="shared" si="2"/>
        <v>180000</v>
      </c>
      <c r="K17" s="50">
        <f t="shared" si="2"/>
        <v>180000</v>
      </c>
      <c r="L17" s="50">
        <f t="shared" si="2"/>
        <v>180000</v>
      </c>
      <c r="M17" s="50">
        <f t="shared" si="2"/>
        <v>180000</v>
      </c>
      <c r="N17" s="51">
        <f>SUM(B17:M17)</f>
        <v>2160000</v>
      </c>
    </row>
    <row r="18" spans="1:14" ht="15" customHeight="1" x14ac:dyDescent="0.3">
      <c r="A18" s="42" t="s">
        <v>75</v>
      </c>
      <c r="B18" s="50">
        <f>B17</f>
        <v>180000</v>
      </c>
      <c r="C18" s="50">
        <f t="shared" ref="C18:M18" si="3">B18+C17</f>
        <v>360000</v>
      </c>
      <c r="D18" s="50">
        <f t="shared" si="3"/>
        <v>540000</v>
      </c>
      <c r="E18" s="50">
        <f t="shared" si="3"/>
        <v>720000</v>
      </c>
      <c r="F18" s="50">
        <f t="shared" si="3"/>
        <v>900000</v>
      </c>
      <c r="G18" s="50">
        <f t="shared" si="3"/>
        <v>1080000</v>
      </c>
      <c r="H18" s="50">
        <f t="shared" si="3"/>
        <v>1260000</v>
      </c>
      <c r="I18" s="50">
        <f t="shared" si="3"/>
        <v>1440000</v>
      </c>
      <c r="J18" s="50">
        <f t="shared" si="3"/>
        <v>1620000</v>
      </c>
      <c r="K18" s="50">
        <f t="shared" si="3"/>
        <v>1800000</v>
      </c>
      <c r="L18" s="50">
        <f t="shared" si="3"/>
        <v>1980000</v>
      </c>
      <c r="M18" s="50">
        <f t="shared" si="3"/>
        <v>2160000</v>
      </c>
      <c r="N18" s="51">
        <f>M18</f>
        <v>2160000</v>
      </c>
    </row>
    <row r="20" spans="1:14" ht="19.5" customHeight="1" x14ac:dyDescent="0.3">
      <c r="A20" s="198" t="s">
        <v>76</v>
      </c>
      <c r="B20" s="198"/>
      <c r="C20" s="198"/>
      <c r="D20" s="198"/>
      <c r="E20" s="198"/>
      <c r="F20" s="198"/>
      <c r="G20" s="198"/>
      <c r="H20" s="198"/>
      <c r="I20" s="198"/>
      <c r="J20" s="198"/>
      <c r="K20" s="198"/>
      <c r="L20" s="198"/>
      <c r="M20" s="198"/>
      <c r="N20" s="198"/>
    </row>
    <row r="21" spans="1:14" ht="15" customHeight="1" x14ac:dyDescent="0.3">
      <c r="A21" s="199" t="s">
        <v>77</v>
      </c>
      <c r="B21" s="199"/>
      <c r="C21" s="199"/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</row>
    <row r="23" spans="1:14" ht="15" customHeight="1" x14ac:dyDescent="0.3">
      <c r="A23" s="46" t="s">
        <v>78</v>
      </c>
      <c r="B23" s="46" t="s">
        <v>4</v>
      </c>
      <c r="C23" s="46" t="s">
        <v>5</v>
      </c>
      <c r="D23" s="46" t="s">
        <v>6</v>
      </c>
      <c r="E23" s="46" t="s">
        <v>7</v>
      </c>
      <c r="F23" s="46" t="s">
        <v>8</v>
      </c>
      <c r="G23" s="46" t="s">
        <v>9</v>
      </c>
      <c r="H23" s="46" t="s">
        <v>10</v>
      </c>
      <c r="I23" s="46" t="s">
        <v>11</v>
      </c>
      <c r="J23" s="46" t="s">
        <v>12</v>
      </c>
      <c r="K23" s="46" t="s">
        <v>13</v>
      </c>
      <c r="L23" s="46" t="s">
        <v>14</v>
      </c>
      <c r="M23" s="46" t="s">
        <v>15</v>
      </c>
      <c r="N23" s="46" t="s">
        <v>79</v>
      </c>
    </row>
    <row r="24" spans="1:14" ht="15" customHeight="1" x14ac:dyDescent="0.3">
      <c r="A24" s="52">
        <v>1</v>
      </c>
      <c r="B24" s="53">
        <v>0</v>
      </c>
      <c r="C24" s="53">
        <v>0</v>
      </c>
      <c r="D24" s="53">
        <v>0</v>
      </c>
      <c r="E24" s="53">
        <v>0</v>
      </c>
      <c r="F24" s="53">
        <v>0</v>
      </c>
      <c r="G24" s="53">
        <v>0</v>
      </c>
      <c r="H24" s="53">
        <v>0</v>
      </c>
      <c r="I24" s="53">
        <v>0</v>
      </c>
      <c r="J24" s="53">
        <v>0</v>
      </c>
      <c r="K24" s="53">
        <v>0</v>
      </c>
      <c r="L24" s="53">
        <v>0</v>
      </c>
      <c r="M24" s="53">
        <v>0</v>
      </c>
    </row>
    <row r="25" spans="1:14" ht="15" customHeight="1" x14ac:dyDescent="0.3">
      <c r="A25" s="52">
        <v>2</v>
      </c>
      <c r="B25" s="53">
        <v>0</v>
      </c>
      <c r="C25" s="53">
        <v>0</v>
      </c>
      <c r="D25" s="53">
        <v>0</v>
      </c>
      <c r="E25" s="53">
        <v>0</v>
      </c>
      <c r="F25" s="53">
        <v>0</v>
      </c>
      <c r="G25" s="53">
        <v>0</v>
      </c>
      <c r="H25" s="53">
        <v>0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</row>
    <row r="26" spans="1:14" ht="15" customHeight="1" x14ac:dyDescent="0.3">
      <c r="A26" s="52">
        <v>3</v>
      </c>
      <c r="B26" s="53">
        <v>0</v>
      </c>
      <c r="C26" s="53">
        <v>0</v>
      </c>
      <c r="D26" s="53">
        <v>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</row>
    <row r="27" spans="1:14" ht="15" customHeight="1" x14ac:dyDescent="0.3">
      <c r="A27" s="52">
        <v>4</v>
      </c>
      <c r="B27" s="53">
        <v>0</v>
      </c>
      <c r="C27" s="53">
        <v>0</v>
      </c>
      <c r="D27" s="53">
        <v>0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</row>
    <row r="28" spans="1:14" ht="15" customHeight="1" x14ac:dyDescent="0.3">
      <c r="A28" s="52">
        <v>5</v>
      </c>
      <c r="B28" s="53">
        <v>0</v>
      </c>
      <c r="C28" s="53">
        <v>0</v>
      </c>
      <c r="D28" s="53">
        <v>0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</row>
    <row r="29" spans="1:14" ht="15" customHeight="1" x14ac:dyDescent="0.3">
      <c r="A29" s="52">
        <v>6</v>
      </c>
      <c r="B29" s="53">
        <v>0</v>
      </c>
      <c r="C29" s="53">
        <v>0</v>
      </c>
      <c r="D29" s="53">
        <v>0</v>
      </c>
      <c r="E29" s="53">
        <v>0</v>
      </c>
      <c r="F29" s="53">
        <v>0</v>
      </c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</row>
    <row r="30" spans="1:14" ht="15" customHeight="1" x14ac:dyDescent="0.3">
      <c r="A30" s="52">
        <v>7</v>
      </c>
      <c r="B30" s="53">
        <v>0</v>
      </c>
      <c r="C30" s="53">
        <v>0</v>
      </c>
      <c r="D30" s="53">
        <v>0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4" ht="15" customHeight="1" x14ac:dyDescent="0.3">
      <c r="A31" s="52">
        <v>8</v>
      </c>
      <c r="B31" s="53">
        <v>0</v>
      </c>
      <c r="C31" s="53">
        <v>0</v>
      </c>
      <c r="D31" s="53">
        <v>0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4" ht="15" customHeight="1" x14ac:dyDescent="0.3">
      <c r="A32" s="52">
        <v>9</v>
      </c>
      <c r="B32" s="53">
        <v>0</v>
      </c>
      <c r="C32" s="53">
        <v>0</v>
      </c>
      <c r="D32" s="53">
        <v>0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4" ht="15" customHeight="1" x14ac:dyDescent="0.3">
      <c r="A33" s="52">
        <v>10</v>
      </c>
      <c r="B33" s="53">
        <v>0</v>
      </c>
      <c r="C33" s="53">
        <v>0</v>
      </c>
      <c r="D33" s="53">
        <v>0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</row>
    <row r="34" spans="1:14" ht="15" customHeight="1" x14ac:dyDescent="0.3">
      <c r="A34" s="52">
        <v>11</v>
      </c>
      <c r="B34" s="53">
        <v>0</v>
      </c>
      <c r="C34" s="53">
        <v>0</v>
      </c>
      <c r="D34" s="53">
        <v>0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4" ht="15" customHeight="1" x14ac:dyDescent="0.3">
      <c r="A35" s="52">
        <v>12</v>
      </c>
      <c r="B35" s="53">
        <v>0</v>
      </c>
      <c r="C35" s="53">
        <v>0</v>
      </c>
      <c r="D35" s="53">
        <v>0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4" ht="15" customHeight="1" x14ac:dyDescent="0.3">
      <c r="A36" s="52">
        <v>13</v>
      </c>
      <c r="B36" s="53">
        <v>0</v>
      </c>
      <c r="C36" s="53">
        <v>0</v>
      </c>
      <c r="D36" s="53">
        <v>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4" ht="15" customHeight="1" x14ac:dyDescent="0.3">
      <c r="A37" s="52">
        <v>14</v>
      </c>
      <c r="B37" s="53">
        <v>0</v>
      </c>
      <c r="C37" s="53">
        <v>0</v>
      </c>
      <c r="D37" s="53">
        <v>0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</row>
    <row r="38" spans="1:14" ht="15" customHeight="1" x14ac:dyDescent="0.3">
      <c r="A38" s="52">
        <v>15</v>
      </c>
      <c r="B38" s="53">
        <v>0</v>
      </c>
      <c r="C38" s="53">
        <v>0</v>
      </c>
      <c r="D38" s="53">
        <v>0</v>
      </c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</row>
    <row r="39" spans="1:14" ht="15" customHeight="1" x14ac:dyDescent="0.3">
      <c r="A39" s="52">
        <v>16</v>
      </c>
      <c r="B39" s="53">
        <v>0</v>
      </c>
      <c r="C39" s="53">
        <v>0</v>
      </c>
      <c r="D39" s="53">
        <v>0</v>
      </c>
      <c r="E39" s="53">
        <v>0</v>
      </c>
      <c r="F39" s="53">
        <v>0</v>
      </c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</row>
    <row r="40" spans="1:14" ht="15" customHeight="1" x14ac:dyDescent="0.3">
      <c r="A40" s="52">
        <v>17</v>
      </c>
      <c r="B40" s="53">
        <v>0</v>
      </c>
      <c r="C40" s="53">
        <v>0</v>
      </c>
      <c r="D40" s="53">
        <v>0</v>
      </c>
      <c r="E40" s="53">
        <v>0</v>
      </c>
      <c r="F40" s="53">
        <v>0</v>
      </c>
      <c r="G40" s="53">
        <v>0</v>
      </c>
      <c r="H40" s="53">
        <v>0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</row>
    <row r="41" spans="1:14" ht="15" customHeight="1" x14ac:dyDescent="0.3">
      <c r="A41" s="52">
        <v>18</v>
      </c>
      <c r="B41" s="53">
        <v>0</v>
      </c>
      <c r="C41" s="53">
        <v>0</v>
      </c>
      <c r="D41" s="53">
        <v>0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</row>
    <row r="42" spans="1:14" ht="15" customHeight="1" x14ac:dyDescent="0.3">
      <c r="A42" s="52">
        <v>19</v>
      </c>
      <c r="B42" s="53">
        <v>0</v>
      </c>
      <c r="C42" s="53">
        <v>0</v>
      </c>
      <c r="D42" s="53">
        <v>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</row>
    <row r="43" spans="1:14" ht="15" customHeight="1" x14ac:dyDescent="0.3">
      <c r="A43" s="52">
        <v>20</v>
      </c>
      <c r="B43" s="53">
        <v>0</v>
      </c>
      <c r="C43" s="53">
        <v>0</v>
      </c>
      <c r="D43" s="53">
        <v>0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</row>
    <row r="44" spans="1:14" ht="15" customHeight="1" x14ac:dyDescent="0.3">
      <c r="A44" s="52">
        <v>21</v>
      </c>
      <c r="B44" s="53">
        <v>0</v>
      </c>
      <c r="C44" s="53">
        <v>0</v>
      </c>
      <c r="D44" s="53">
        <v>0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</row>
    <row r="45" spans="1:14" ht="15" customHeight="1" x14ac:dyDescent="0.3">
      <c r="A45" s="52">
        <v>22</v>
      </c>
      <c r="B45" s="53">
        <v>0</v>
      </c>
      <c r="C45" s="53">
        <v>0</v>
      </c>
      <c r="D45" s="53">
        <v>0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</row>
    <row r="46" spans="1:14" ht="15" customHeight="1" x14ac:dyDescent="0.3">
      <c r="A46" s="52">
        <v>23</v>
      </c>
      <c r="B46" s="53">
        <v>0</v>
      </c>
      <c r="C46" s="53">
        <v>0</v>
      </c>
      <c r="D46" s="53">
        <v>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</row>
    <row r="47" spans="1:14" ht="15" customHeight="1" x14ac:dyDescent="0.3">
      <c r="A47" s="52">
        <v>24</v>
      </c>
      <c r="B47" s="53">
        <v>0</v>
      </c>
      <c r="C47" s="53">
        <v>0</v>
      </c>
      <c r="D47" s="53">
        <v>0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</row>
    <row r="48" spans="1:14" ht="15" customHeight="1" x14ac:dyDescent="0.3">
      <c r="A48" s="49" t="s">
        <v>80</v>
      </c>
      <c r="B48" s="51">
        <f t="shared" ref="B48:M48" si="4">SUM(B24:B47)</f>
        <v>0</v>
      </c>
      <c r="C48" s="51">
        <f t="shared" si="4"/>
        <v>0</v>
      </c>
      <c r="D48" s="51">
        <f t="shared" si="4"/>
        <v>0</v>
      </c>
      <c r="E48" s="51">
        <f t="shared" si="4"/>
        <v>0</v>
      </c>
      <c r="F48" s="51">
        <f t="shared" si="4"/>
        <v>0</v>
      </c>
      <c r="G48" s="51">
        <f t="shared" si="4"/>
        <v>0</v>
      </c>
      <c r="H48" s="51">
        <f t="shared" si="4"/>
        <v>0</v>
      </c>
      <c r="I48" s="51">
        <f t="shared" si="4"/>
        <v>0</v>
      </c>
      <c r="J48" s="51">
        <f t="shared" si="4"/>
        <v>0</v>
      </c>
      <c r="K48" s="51">
        <f t="shared" si="4"/>
        <v>0</v>
      </c>
      <c r="L48" s="51">
        <f t="shared" si="4"/>
        <v>0</v>
      </c>
      <c r="M48" s="53">
        <v>10000</v>
      </c>
      <c r="N48" s="51">
        <f>SUM(B48:M48)</f>
        <v>10000</v>
      </c>
    </row>
    <row r="49" spans="1:20" ht="15" customHeight="1" thickBot="1" x14ac:dyDescent="0.35">
      <c r="A49" s="42" t="s">
        <v>81</v>
      </c>
      <c r="B49" s="50">
        <f t="shared" ref="B49:M49" si="5">B15</f>
        <v>480000</v>
      </c>
      <c r="C49" s="50">
        <f t="shared" si="5"/>
        <v>480000</v>
      </c>
      <c r="D49" s="50">
        <f t="shared" si="5"/>
        <v>480000</v>
      </c>
      <c r="E49" s="50">
        <f t="shared" si="5"/>
        <v>480000</v>
      </c>
      <c r="F49" s="66">
        <f t="shared" si="5"/>
        <v>480000</v>
      </c>
      <c r="G49" s="50">
        <f t="shared" si="5"/>
        <v>480000</v>
      </c>
      <c r="H49" s="50">
        <f t="shared" si="5"/>
        <v>480000</v>
      </c>
      <c r="I49" s="50">
        <f t="shared" si="5"/>
        <v>480000</v>
      </c>
      <c r="J49" s="50">
        <f t="shared" si="5"/>
        <v>480000</v>
      </c>
      <c r="K49" s="50">
        <f t="shared" si="5"/>
        <v>480000</v>
      </c>
      <c r="L49" s="50">
        <f t="shared" si="5"/>
        <v>480000</v>
      </c>
      <c r="M49" s="50">
        <f t="shared" si="5"/>
        <v>480000</v>
      </c>
      <c r="N49" s="50">
        <f>SUM(B49:M49)</f>
        <v>5760000</v>
      </c>
    </row>
    <row r="50" spans="1:20" ht="15" customHeight="1" x14ac:dyDescent="0.3">
      <c r="A50" s="49" t="s">
        <v>82</v>
      </c>
      <c r="B50" s="54">
        <f t="shared" ref="B50:M50" si="6">B48-B49</f>
        <v>-480000</v>
      </c>
      <c r="C50" s="54">
        <f t="shared" si="6"/>
        <v>-480000</v>
      </c>
      <c r="D50" s="54">
        <f t="shared" si="6"/>
        <v>-480000</v>
      </c>
      <c r="E50" s="64">
        <f t="shared" si="6"/>
        <v>-480000</v>
      </c>
      <c r="F50" s="193">
        <f t="shared" si="6"/>
        <v>-480000</v>
      </c>
      <c r="G50" s="65">
        <f t="shared" si="6"/>
        <v>-480000</v>
      </c>
      <c r="H50" s="54">
        <f t="shared" si="6"/>
        <v>-480000</v>
      </c>
      <c r="I50" s="54">
        <f t="shared" si="6"/>
        <v>-480000</v>
      </c>
      <c r="J50" s="54">
        <f t="shared" si="6"/>
        <v>-480000</v>
      </c>
      <c r="K50" s="54">
        <f t="shared" si="6"/>
        <v>-480000</v>
      </c>
      <c r="L50" s="54">
        <f t="shared" si="6"/>
        <v>-480000</v>
      </c>
      <c r="M50" s="54">
        <f t="shared" si="6"/>
        <v>-470000</v>
      </c>
      <c r="N50" s="54">
        <f>SUM(B50:M50)</f>
        <v>-5750000</v>
      </c>
    </row>
    <row r="51" spans="1:20" x14ac:dyDescent="0.3">
      <c r="F51" s="194"/>
    </row>
    <row r="52" spans="1:20" x14ac:dyDescent="0.3">
      <c r="F52" s="194"/>
      <c r="I52" s="67"/>
      <c r="L52" s="67"/>
    </row>
    <row r="53" spans="1:20" ht="15" thickBot="1" x14ac:dyDescent="0.35">
      <c r="F53" s="194"/>
    </row>
    <row r="54" spans="1:20" x14ac:dyDescent="0.3">
      <c r="F54" s="195"/>
      <c r="G54" s="68" t="s">
        <v>83</v>
      </c>
      <c r="H54" s="70"/>
      <c r="I54" s="72">
        <f>SUM(I51,L51,O51,R51)</f>
        <v>0</v>
      </c>
      <c r="J54" s="73"/>
      <c r="K54" s="73"/>
      <c r="L54" s="73"/>
      <c r="M54" s="73"/>
      <c r="N54" s="74"/>
      <c r="O54" s="75"/>
      <c r="P54" s="75"/>
      <c r="Q54" s="75"/>
      <c r="R54" s="75"/>
      <c r="S54" s="75"/>
      <c r="T54" s="76"/>
    </row>
    <row r="55" spans="1:20" ht="15" thickBot="1" x14ac:dyDescent="0.35">
      <c r="F55" s="196"/>
      <c r="G55" s="69" t="s">
        <v>83</v>
      </c>
      <c r="H55" s="71"/>
      <c r="I55" s="77">
        <f>SUM(I53,L53,O53,R53)</f>
        <v>0</v>
      </c>
      <c r="J55" s="78"/>
      <c r="K55" s="78"/>
      <c r="L55" s="78"/>
      <c r="M55" s="78"/>
      <c r="N55" s="79"/>
      <c r="O55" s="80"/>
      <c r="P55" s="80"/>
      <c r="Q55" s="80"/>
      <c r="R55" s="80"/>
      <c r="S55" s="80"/>
      <c r="T55" s="81"/>
    </row>
  </sheetData>
  <mergeCells count="5">
    <mergeCell ref="F50:F55"/>
    <mergeCell ref="A1:N1"/>
    <mergeCell ref="A12:N12"/>
    <mergeCell ref="A20:N20"/>
    <mergeCell ref="A21:N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showGridLines="0" zoomScaleNormal="100" workbookViewId="0">
      <pane ySplit="17" topLeftCell="A18" activePane="bottomLeft" state="frozen"/>
      <selection pane="bottomLeft" activeCell="I18" sqref="I18"/>
    </sheetView>
  </sheetViews>
  <sheetFormatPr baseColWidth="10" defaultColWidth="8.6640625" defaultRowHeight="14.4" x14ac:dyDescent="0.3"/>
  <cols>
    <col min="1" max="1" width="22.21875" customWidth="1"/>
    <col min="2" max="2" width="19" customWidth="1"/>
    <col min="3" max="3" width="22" customWidth="1"/>
    <col min="4" max="5" width="14" customWidth="1"/>
    <col min="6" max="6" width="18" customWidth="1"/>
    <col min="7" max="7" width="12" customWidth="1"/>
    <col min="8" max="8" width="16" customWidth="1"/>
    <col min="9" max="10" width="30" customWidth="1"/>
  </cols>
  <sheetData>
    <row r="1" spans="1:10" ht="27.75" customHeight="1" x14ac:dyDescent="0.3">
      <c r="A1" s="197" t="s">
        <v>120</v>
      </c>
      <c r="B1" s="197"/>
      <c r="C1" s="197"/>
      <c r="D1" s="197"/>
      <c r="E1" s="197"/>
      <c r="F1" s="197"/>
      <c r="G1" s="197"/>
      <c r="H1" s="197"/>
      <c r="I1" s="197"/>
      <c r="J1" s="197"/>
    </row>
    <row r="2" spans="1:10" x14ac:dyDescent="0.3">
      <c r="A2" s="101" t="s">
        <v>119</v>
      </c>
    </row>
    <row r="4" spans="1:10" ht="19.5" customHeight="1" x14ac:dyDescent="0.3">
      <c r="A4" s="200" t="s">
        <v>118</v>
      </c>
      <c r="B4" s="200"/>
      <c r="C4" s="200"/>
      <c r="D4" s="200"/>
      <c r="E4" s="200"/>
      <c r="F4" s="200"/>
      <c r="G4" s="200"/>
      <c r="H4" s="200"/>
      <c r="I4" s="200"/>
      <c r="J4" s="200"/>
    </row>
    <row r="5" spans="1:10" ht="27" x14ac:dyDescent="0.3">
      <c r="A5" s="97" t="s">
        <v>93</v>
      </c>
      <c r="B5" s="97" t="s">
        <v>117</v>
      </c>
      <c r="C5" s="97" t="s">
        <v>116</v>
      </c>
      <c r="D5" s="97" t="s">
        <v>115</v>
      </c>
      <c r="E5" s="97" t="s">
        <v>114</v>
      </c>
    </row>
    <row r="6" spans="1:10" x14ac:dyDescent="0.3">
      <c r="A6" s="100" t="s">
        <v>113</v>
      </c>
      <c r="B6" s="98" t="s">
        <v>112</v>
      </c>
      <c r="C6" s="98">
        <v>1000</v>
      </c>
      <c r="D6" s="99">
        <v>15000</v>
      </c>
      <c r="E6" s="98" t="s">
        <v>100</v>
      </c>
    </row>
    <row r="7" spans="1:10" x14ac:dyDescent="0.3">
      <c r="A7" s="100" t="s">
        <v>111</v>
      </c>
      <c r="B7" s="98" t="s">
        <v>110</v>
      </c>
      <c r="C7" s="98">
        <v>250</v>
      </c>
      <c r="D7" s="99">
        <v>0</v>
      </c>
      <c r="E7" s="98" t="s">
        <v>100</v>
      </c>
    </row>
    <row r="8" spans="1:10" x14ac:dyDescent="0.3">
      <c r="A8" s="100" t="s">
        <v>109</v>
      </c>
      <c r="B8" s="98" t="s">
        <v>107</v>
      </c>
      <c r="C8" s="98">
        <v>500</v>
      </c>
      <c r="D8" s="99">
        <v>5000</v>
      </c>
      <c r="E8" s="98" t="s">
        <v>100</v>
      </c>
    </row>
    <row r="9" spans="1:10" x14ac:dyDescent="0.3">
      <c r="A9" s="100" t="s">
        <v>108</v>
      </c>
      <c r="B9" s="98" t="s">
        <v>107</v>
      </c>
      <c r="C9" s="98">
        <v>500</v>
      </c>
      <c r="D9" s="99">
        <v>3000</v>
      </c>
      <c r="E9" s="98" t="s">
        <v>103</v>
      </c>
    </row>
    <row r="10" spans="1:10" x14ac:dyDescent="0.3">
      <c r="A10" s="100" t="s">
        <v>106</v>
      </c>
      <c r="B10" s="98" t="s">
        <v>104</v>
      </c>
      <c r="C10" s="98">
        <v>3000</v>
      </c>
      <c r="D10" s="99">
        <v>8000</v>
      </c>
      <c r="E10" s="98" t="s">
        <v>103</v>
      </c>
    </row>
    <row r="11" spans="1:10" x14ac:dyDescent="0.3">
      <c r="A11" s="100" t="s">
        <v>105</v>
      </c>
      <c r="B11" s="98" t="s">
        <v>104</v>
      </c>
      <c r="C11" s="98">
        <v>3000</v>
      </c>
      <c r="D11" s="99">
        <v>5000</v>
      </c>
      <c r="E11" s="98" t="s">
        <v>103</v>
      </c>
    </row>
    <row r="12" spans="1:10" x14ac:dyDescent="0.3">
      <c r="A12" s="100" t="s">
        <v>102</v>
      </c>
      <c r="B12" s="98" t="s">
        <v>101</v>
      </c>
      <c r="C12" s="98">
        <v>6000</v>
      </c>
      <c r="D12" s="99">
        <v>40000</v>
      </c>
      <c r="E12" s="98" t="s">
        <v>100</v>
      </c>
    </row>
    <row r="13" spans="1:10" x14ac:dyDescent="0.3">
      <c r="A13" s="100" t="s">
        <v>99</v>
      </c>
      <c r="B13" s="98" t="s">
        <v>98</v>
      </c>
      <c r="C13" s="98">
        <v>1000</v>
      </c>
      <c r="D13" s="99">
        <v>0</v>
      </c>
      <c r="E13" s="98" t="s">
        <v>97</v>
      </c>
    </row>
    <row r="16" spans="1:10" ht="19.5" customHeight="1" x14ac:dyDescent="0.3">
      <c r="A16" s="200" t="s">
        <v>96</v>
      </c>
      <c r="B16" s="200"/>
      <c r="C16" s="200"/>
      <c r="D16" s="200"/>
      <c r="E16" s="200"/>
      <c r="F16" s="200"/>
      <c r="G16" s="200"/>
      <c r="H16" s="200"/>
      <c r="I16" s="200"/>
      <c r="J16" s="200"/>
    </row>
    <row r="17" spans="1:9" ht="30" customHeight="1" x14ac:dyDescent="0.3">
      <c r="A17" s="97" t="s">
        <v>95</v>
      </c>
      <c r="B17" s="97" t="s">
        <v>94</v>
      </c>
      <c r="C17" s="97" t="s">
        <v>93</v>
      </c>
      <c r="D17" s="97" t="s">
        <v>92</v>
      </c>
      <c r="E17" s="97" t="s">
        <v>91</v>
      </c>
      <c r="F17" s="97" t="s">
        <v>90</v>
      </c>
      <c r="G17" s="97" t="s">
        <v>89</v>
      </c>
      <c r="H17" s="97" t="s">
        <v>88</v>
      </c>
      <c r="I17" s="97" t="s">
        <v>87</v>
      </c>
    </row>
    <row r="18" spans="1:9" x14ac:dyDescent="0.3">
      <c r="A18" s="94"/>
      <c r="B18" s="94"/>
      <c r="C18" s="94"/>
      <c r="D18" s="96"/>
      <c r="E18" s="95"/>
      <c r="F18" s="94"/>
      <c r="G18" s="94" t="s">
        <v>121</v>
      </c>
      <c r="H18" s="94"/>
      <c r="I18" s="94"/>
    </row>
    <row r="19" spans="1:9" x14ac:dyDescent="0.3">
      <c r="A19" s="94"/>
      <c r="B19" s="94"/>
      <c r="C19" s="94"/>
      <c r="D19" s="96"/>
      <c r="E19" s="95"/>
      <c r="F19" s="94"/>
      <c r="G19" s="94"/>
      <c r="H19" s="94"/>
      <c r="I19" s="94"/>
    </row>
    <row r="20" spans="1:9" x14ac:dyDescent="0.3">
      <c r="A20" s="94"/>
      <c r="B20" s="94"/>
      <c r="C20" s="94"/>
      <c r="D20" s="96"/>
      <c r="E20" s="95"/>
      <c r="F20" s="94"/>
      <c r="G20" s="94"/>
      <c r="H20" s="94"/>
      <c r="I20" s="94"/>
    </row>
    <row r="21" spans="1:9" x14ac:dyDescent="0.3">
      <c r="A21" s="94"/>
      <c r="B21" s="94"/>
      <c r="C21" s="94"/>
      <c r="D21" s="96"/>
      <c r="E21" s="95"/>
      <c r="F21" s="94"/>
      <c r="G21" s="94"/>
      <c r="H21" s="94"/>
      <c r="I21" s="94"/>
    </row>
    <row r="22" spans="1:9" x14ac:dyDescent="0.3">
      <c r="A22" s="94"/>
      <c r="B22" s="94"/>
      <c r="C22" s="94"/>
      <c r="D22" s="96"/>
      <c r="E22" s="95"/>
      <c r="F22" s="94"/>
      <c r="G22" s="94"/>
      <c r="H22" s="94"/>
      <c r="I22" s="94"/>
    </row>
    <row r="23" spans="1:9" x14ac:dyDescent="0.3">
      <c r="A23" s="94"/>
      <c r="B23" s="94"/>
      <c r="C23" s="94"/>
      <c r="D23" s="96"/>
      <c r="E23" s="95"/>
      <c r="F23" s="94"/>
      <c r="G23" s="94"/>
      <c r="H23" s="94"/>
      <c r="I23" s="94"/>
    </row>
    <row r="24" spans="1:9" x14ac:dyDescent="0.3">
      <c r="A24" s="94"/>
      <c r="B24" s="94"/>
      <c r="C24" s="94"/>
      <c r="D24" s="96"/>
      <c r="E24" s="95"/>
      <c r="F24" s="94"/>
      <c r="G24" s="94"/>
      <c r="H24" s="94"/>
      <c r="I24" s="94"/>
    </row>
    <row r="25" spans="1:9" x14ac:dyDescent="0.3">
      <c r="A25" s="94"/>
      <c r="B25" s="94"/>
      <c r="C25" s="94"/>
      <c r="D25" s="96"/>
      <c r="E25" s="95"/>
      <c r="F25" s="94"/>
      <c r="G25" s="94"/>
      <c r="H25" s="94"/>
      <c r="I25" s="94"/>
    </row>
    <row r="26" spans="1:9" x14ac:dyDescent="0.3">
      <c r="A26" s="94"/>
      <c r="B26" s="94"/>
      <c r="C26" s="94"/>
      <c r="D26" s="96"/>
      <c r="E26" s="95"/>
      <c r="F26" s="94"/>
      <c r="G26" s="94"/>
      <c r="H26" s="94"/>
      <c r="I26" s="94"/>
    </row>
    <row r="27" spans="1:9" x14ac:dyDescent="0.3">
      <c r="A27" s="94"/>
      <c r="B27" s="94"/>
      <c r="C27" s="94"/>
      <c r="D27" s="96"/>
      <c r="E27" s="95"/>
      <c r="F27" s="94"/>
      <c r="G27" s="94"/>
      <c r="H27" s="94"/>
      <c r="I27" s="94"/>
    </row>
    <row r="28" spans="1:9" x14ac:dyDescent="0.3">
      <c r="A28" s="94"/>
      <c r="B28" s="94"/>
      <c r="C28" s="94"/>
      <c r="D28" s="96"/>
      <c r="E28" s="95"/>
      <c r="F28" s="94"/>
      <c r="G28" s="94"/>
      <c r="H28" s="94"/>
      <c r="I28" s="94"/>
    </row>
    <row r="29" spans="1:9" x14ac:dyDescent="0.3">
      <c r="A29" s="94"/>
      <c r="B29" s="94"/>
      <c r="C29" s="94"/>
      <c r="D29" s="96"/>
      <c r="E29" s="95"/>
      <c r="F29" s="94"/>
      <c r="G29" s="94"/>
      <c r="H29" s="94"/>
      <c r="I29" s="94"/>
    </row>
    <row r="30" spans="1:9" x14ac:dyDescent="0.3">
      <c r="A30" s="94"/>
      <c r="B30" s="94"/>
      <c r="C30" s="94"/>
      <c r="D30" s="96"/>
      <c r="E30" s="95"/>
      <c r="F30" s="94"/>
      <c r="G30" s="94"/>
      <c r="H30" s="94"/>
      <c r="I30" s="94"/>
    </row>
    <row r="31" spans="1:9" x14ac:dyDescent="0.3">
      <c r="A31" s="94"/>
      <c r="B31" s="94"/>
      <c r="C31" s="94"/>
      <c r="D31" s="96"/>
      <c r="E31" s="95"/>
      <c r="F31" s="94"/>
      <c r="G31" s="94"/>
      <c r="H31" s="94"/>
      <c r="I31" s="94"/>
    </row>
    <row r="32" spans="1:9" x14ac:dyDescent="0.3">
      <c r="A32" s="94"/>
      <c r="B32" s="94"/>
      <c r="C32" s="94"/>
      <c r="D32" s="96"/>
      <c r="E32" s="95"/>
      <c r="F32" s="94"/>
      <c r="G32" s="94"/>
      <c r="H32" s="94"/>
      <c r="I32" s="94"/>
    </row>
    <row r="33" spans="1:9" x14ac:dyDescent="0.3">
      <c r="A33" s="94"/>
      <c r="B33" s="94"/>
      <c r="C33" s="94"/>
      <c r="D33" s="96"/>
      <c r="E33" s="95"/>
      <c r="F33" s="94"/>
      <c r="G33" s="94"/>
      <c r="H33" s="94"/>
      <c r="I33" s="94"/>
    </row>
    <row r="34" spans="1:9" x14ac:dyDescent="0.3">
      <c r="A34" s="94"/>
      <c r="B34" s="94"/>
      <c r="C34" s="94"/>
      <c r="D34" s="96"/>
      <c r="E34" s="95"/>
      <c r="F34" s="94"/>
      <c r="G34" s="94"/>
      <c r="H34" s="94"/>
      <c r="I34" s="94"/>
    </row>
    <row r="35" spans="1:9" x14ac:dyDescent="0.3">
      <c r="A35" s="94"/>
      <c r="B35" s="94"/>
      <c r="C35" s="94"/>
      <c r="D35" s="96"/>
      <c r="E35" s="95"/>
      <c r="F35" s="94"/>
      <c r="G35" s="94"/>
      <c r="H35" s="94"/>
      <c r="I35" s="94"/>
    </row>
    <row r="36" spans="1:9" x14ac:dyDescent="0.3">
      <c r="A36" s="94"/>
      <c r="B36" s="94"/>
      <c r="C36" s="94"/>
      <c r="D36" s="96"/>
      <c r="E36" s="95"/>
      <c r="F36" s="94"/>
      <c r="G36" s="94"/>
      <c r="H36" s="94"/>
      <c r="I36" s="94"/>
    </row>
    <row r="37" spans="1:9" x14ac:dyDescent="0.3">
      <c r="A37" s="94"/>
      <c r="B37" s="94"/>
      <c r="C37" s="94"/>
      <c r="D37" s="96"/>
      <c r="E37" s="95"/>
      <c r="F37" s="94"/>
      <c r="G37" s="94"/>
      <c r="H37" s="94"/>
      <c r="I37" s="94"/>
    </row>
    <row r="38" spans="1:9" x14ac:dyDescent="0.3">
      <c r="A38" s="94"/>
      <c r="B38" s="94"/>
      <c r="C38" s="94"/>
      <c r="D38" s="96"/>
      <c r="E38" s="95"/>
      <c r="F38" s="94"/>
      <c r="G38" s="94"/>
      <c r="H38" s="94"/>
      <c r="I38" s="94"/>
    </row>
    <row r="39" spans="1:9" x14ac:dyDescent="0.3">
      <c r="A39" s="94"/>
      <c r="B39" s="94"/>
      <c r="C39" s="94"/>
      <c r="D39" s="96"/>
      <c r="E39" s="95"/>
      <c r="F39" s="94"/>
      <c r="G39" s="94"/>
      <c r="H39" s="94"/>
      <c r="I39" s="94"/>
    </row>
    <row r="40" spans="1:9" x14ac:dyDescent="0.3">
      <c r="A40" s="94"/>
      <c r="B40" s="94"/>
      <c r="C40" s="94"/>
      <c r="D40" s="96"/>
      <c r="E40" s="95"/>
      <c r="F40" s="94"/>
      <c r="G40" s="94"/>
      <c r="H40" s="94"/>
      <c r="I40" s="94"/>
    </row>
    <row r="41" spans="1:9" x14ac:dyDescent="0.3">
      <c r="A41" s="94"/>
      <c r="B41" s="94"/>
      <c r="C41" s="94"/>
      <c r="D41" s="96"/>
      <c r="E41" s="95"/>
      <c r="F41" s="94"/>
      <c r="G41" s="94"/>
      <c r="H41" s="94"/>
      <c r="I41" s="94"/>
    </row>
    <row r="42" spans="1:9" x14ac:dyDescent="0.3">
      <c r="A42" s="94"/>
      <c r="B42" s="94"/>
      <c r="C42" s="94"/>
      <c r="D42" s="96"/>
      <c r="E42" s="95"/>
      <c r="F42" s="94"/>
      <c r="G42" s="94"/>
      <c r="H42" s="94"/>
      <c r="I42" s="94"/>
    </row>
    <row r="43" spans="1:9" x14ac:dyDescent="0.3">
      <c r="A43" s="94"/>
      <c r="B43" s="94"/>
      <c r="C43" s="94"/>
      <c r="D43" s="96"/>
      <c r="E43" s="95"/>
      <c r="F43" s="94"/>
      <c r="G43" s="94"/>
      <c r="H43" s="94"/>
      <c r="I43" s="94"/>
    </row>
    <row r="44" spans="1:9" x14ac:dyDescent="0.3">
      <c r="A44" s="94"/>
      <c r="B44" s="94"/>
      <c r="C44" s="94"/>
      <c r="D44" s="96"/>
      <c r="E44" s="95"/>
      <c r="F44" s="94"/>
      <c r="G44" s="94"/>
      <c r="H44" s="94"/>
      <c r="I44" s="94"/>
    </row>
    <row r="45" spans="1:9" x14ac:dyDescent="0.3">
      <c r="A45" s="94"/>
      <c r="B45" s="94"/>
      <c r="C45" s="94"/>
      <c r="D45" s="96"/>
      <c r="E45" s="95"/>
      <c r="F45" s="94"/>
      <c r="G45" s="94"/>
      <c r="H45" s="94"/>
      <c r="I45" s="94"/>
    </row>
    <row r="46" spans="1:9" x14ac:dyDescent="0.3">
      <c r="A46" s="94"/>
      <c r="B46" s="94"/>
      <c r="C46" s="94"/>
      <c r="D46" s="96"/>
      <c r="E46" s="95"/>
      <c r="F46" s="94"/>
      <c r="G46" s="94"/>
      <c r="H46" s="94"/>
      <c r="I46" s="94"/>
    </row>
    <row r="47" spans="1:9" x14ac:dyDescent="0.3">
      <c r="A47" s="94"/>
      <c r="B47" s="94"/>
      <c r="C47" s="94"/>
      <c r="D47" s="96"/>
      <c r="E47" s="95"/>
      <c r="F47" s="94"/>
      <c r="G47" s="94"/>
      <c r="H47" s="94"/>
      <c r="I47" s="94"/>
    </row>
    <row r="48" spans="1:9" x14ac:dyDescent="0.3">
      <c r="A48" s="94"/>
      <c r="B48" s="94"/>
      <c r="C48" s="94"/>
      <c r="D48" s="96"/>
      <c r="E48" s="95"/>
      <c r="F48" s="94"/>
      <c r="G48" s="94"/>
      <c r="H48" s="94"/>
      <c r="I48" s="94"/>
    </row>
    <row r="49" spans="1:9" x14ac:dyDescent="0.3">
      <c r="A49" s="94"/>
      <c r="B49" s="94"/>
      <c r="C49" s="94"/>
      <c r="D49" s="96"/>
      <c r="E49" s="95"/>
      <c r="F49" s="94"/>
      <c r="G49" s="94"/>
      <c r="H49" s="94"/>
      <c r="I49" s="94"/>
    </row>
    <row r="50" spans="1:9" x14ac:dyDescent="0.3">
      <c r="A50" s="94"/>
      <c r="B50" s="94"/>
      <c r="C50" s="94"/>
      <c r="D50" s="96"/>
      <c r="E50" s="95"/>
      <c r="F50" s="94"/>
      <c r="G50" s="94"/>
      <c r="H50" s="94"/>
      <c r="I50" s="94"/>
    </row>
    <row r="51" spans="1:9" x14ac:dyDescent="0.3">
      <c r="A51" s="94"/>
      <c r="B51" s="94"/>
      <c r="C51" s="94"/>
      <c r="D51" s="96"/>
      <c r="E51" s="95"/>
      <c r="F51" s="94"/>
      <c r="G51" s="94"/>
      <c r="H51" s="94"/>
      <c r="I51" s="94"/>
    </row>
    <row r="52" spans="1:9" x14ac:dyDescent="0.3">
      <c r="A52" s="94"/>
      <c r="B52" s="94"/>
      <c r="C52" s="94"/>
      <c r="D52" s="96"/>
      <c r="E52" s="95"/>
      <c r="F52" s="94"/>
      <c r="G52" s="94"/>
      <c r="H52" s="94"/>
      <c r="I52" s="94"/>
    </row>
    <row r="53" spans="1:9" x14ac:dyDescent="0.3">
      <c r="A53" s="94"/>
      <c r="B53" s="94"/>
      <c r="C53" s="94"/>
      <c r="D53" s="96"/>
      <c r="E53" s="95"/>
      <c r="F53" s="94"/>
      <c r="G53" s="94"/>
      <c r="H53" s="94"/>
      <c r="I53" s="94"/>
    </row>
    <row r="54" spans="1:9" x14ac:dyDescent="0.3">
      <c r="A54" s="94"/>
      <c r="B54" s="94"/>
      <c r="C54" s="94"/>
      <c r="D54" s="96"/>
      <c r="E54" s="95"/>
      <c r="F54" s="94"/>
      <c r="G54" s="94"/>
      <c r="H54" s="94"/>
      <c r="I54" s="94"/>
    </row>
    <row r="55" spans="1:9" x14ac:dyDescent="0.3">
      <c r="A55" s="94"/>
      <c r="B55" s="94"/>
      <c r="C55" s="94"/>
      <c r="D55" s="96"/>
      <c r="E55" s="95"/>
      <c r="F55" s="94"/>
      <c r="G55" s="94"/>
      <c r="H55" s="94"/>
      <c r="I55" s="94"/>
    </row>
    <row r="56" spans="1:9" x14ac:dyDescent="0.3">
      <c r="A56" s="94"/>
      <c r="B56" s="94"/>
      <c r="C56" s="94"/>
      <c r="D56" s="96"/>
      <c r="E56" s="95"/>
      <c r="F56" s="94"/>
      <c r="G56" s="94"/>
      <c r="H56" s="94"/>
      <c r="I56" s="94"/>
    </row>
    <row r="57" spans="1:9" x14ac:dyDescent="0.3">
      <c r="A57" s="94"/>
      <c r="B57" s="94"/>
      <c r="C57" s="94"/>
      <c r="D57" s="96"/>
      <c r="E57" s="95"/>
      <c r="F57" s="94"/>
      <c r="G57" s="94"/>
      <c r="H57" s="94"/>
      <c r="I57" s="94"/>
    </row>
    <row r="58" spans="1:9" x14ac:dyDescent="0.3">
      <c r="C58" s="93" t="s">
        <v>86</v>
      </c>
      <c r="E58" s="92">
        <f>SUM(E18:E57)</f>
        <v>0</v>
      </c>
    </row>
  </sheetData>
  <mergeCells count="3">
    <mergeCell ref="A1:J1"/>
    <mergeCell ref="A4:J4"/>
    <mergeCell ref="A16:J16"/>
  </mergeCells>
  <dataValidations count="2">
    <dataValidation type="list" allowBlank="1" sqref="B18:B57">
      <formula1>"Moto 1,Moto 2,Moto 3,Moto 4"</formula1>
      <formula2>0</formula2>
    </dataValidation>
    <dataValidation type="list" allowBlank="1" sqref="G18:G57">
      <formula1>"Fait,À faire,En retard,Planifié"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Analyse-Projéction</vt:lpstr>
      <vt:lpstr>Tableau de Bord</vt:lpstr>
      <vt:lpstr>Calendrier entretien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</cp:lastModifiedBy>
  <cp:revision>0</cp:revision>
  <dcterms:created xsi:type="dcterms:W3CDTF">2026-09-25T09:35:12Z</dcterms:created>
  <dcterms:modified xsi:type="dcterms:W3CDTF">2026-09-25T10:28:42Z</dcterms:modified>
  <dc:language>en-US</dc:language>
</cp:coreProperties>
</file>